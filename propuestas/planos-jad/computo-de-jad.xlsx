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NOVA DOMUS\PRESUPUESTOS\_PROYECTOS ACTIVOS\ESTUDIO JAD - PROY.ING.ELECT.-CASA JB\JAD ENTREGA 7.8.26\"/>
    </mc:Choice>
  </mc:AlternateContent>
  <bookViews>
    <workbookView xWindow="0" yWindow="0" windowWidth="8730" windowHeight="5895" tabRatio="828" activeTab="5"/>
  </bookViews>
  <sheets>
    <sheet name="COMPUTO TABLEROS" sheetId="2" r:id="rId1"/>
    <sheet name="COMPUTO CABLE ACOMETIDA Y PAT" sheetId="1" r:id="rId2"/>
    <sheet name="COMPUTO ACU + TUE" sheetId="5" r:id="rId3"/>
    <sheet name="COMPUTO TUG" sheetId="3" r:id="rId4"/>
    <sheet name="COMPUTO IUG" sheetId="7" r:id="rId5"/>
    <sheet name="LUMINARIAS" sheetId="10" r:id="rId6"/>
    <sheet name="LLAVES DE LUZ" sheetId="4" r:id="rId7"/>
    <sheet name="COMPUTO SD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0" l="1"/>
  <c r="D9" i="10" l="1"/>
  <c r="D10" i="10"/>
  <c r="D11" i="10"/>
  <c r="D12" i="10"/>
  <c r="D13" i="10"/>
  <c r="D14" i="10"/>
  <c r="D15" i="10"/>
  <c r="D16" i="10"/>
  <c r="D8" i="10"/>
  <c r="F35" i="8" l="1"/>
  <c r="G35" i="8"/>
  <c r="C9" i="4" l="1"/>
  <c r="I35" i="8" l="1"/>
  <c r="H35" i="8"/>
  <c r="B35" i="8"/>
  <c r="C35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38" i="8"/>
  <c r="E35" i="8" l="1"/>
  <c r="E17" i="5" l="1"/>
  <c r="E16" i="5"/>
  <c r="B9" i="4" l="1"/>
  <c r="D9" i="7" l="1"/>
  <c r="C9" i="7"/>
  <c r="J9" i="7" l="1"/>
  <c r="I9" i="7"/>
  <c r="O9" i="7"/>
  <c r="G9" i="7"/>
  <c r="H9" i="7" l="1"/>
  <c r="K9" i="7"/>
  <c r="M9" i="7"/>
  <c r="D10" i="5"/>
  <c r="E10" i="5"/>
  <c r="P10" i="5" s="1"/>
  <c r="M10" i="5"/>
  <c r="J10" i="5"/>
  <c r="C9" i="3"/>
  <c r="F9" i="3" s="1"/>
  <c r="N10" i="5" l="1"/>
  <c r="H10" i="5"/>
  <c r="O10" i="5"/>
  <c r="J9" i="3"/>
  <c r="I9" i="3"/>
  <c r="D9" i="3"/>
  <c r="M9" i="3" l="1"/>
  <c r="H9" i="3"/>
  <c r="K9" i="3"/>
  <c r="L9" i="3"/>
</calcChain>
</file>

<file path=xl/sharedStrings.xml><?xml version="1.0" encoding="utf-8"?>
<sst xmlns="http://schemas.openxmlformats.org/spreadsheetml/2006/main" count="1884" uniqueCount="752">
  <si>
    <t>Planta baja</t>
  </si>
  <si>
    <t>Pilar - TS1</t>
  </si>
  <si>
    <t xml:space="preserve">Descripcion </t>
  </si>
  <si>
    <t>Long en m.</t>
  </si>
  <si>
    <t>Tramo</t>
  </si>
  <si>
    <t>TS1</t>
  </si>
  <si>
    <t>TS1 (Principal)</t>
  </si>
  <si>
    <t>Cables de conexión de tableros</t>
  </si>
  <si>
    <t>Computo de materiales</t>
  </si>
  <si>
    <t>Pilar - TS2 (Cochera)</t>
  </si>
  <si>
    <t>TS1 (Princ PB) - TS3 (PA)</t>
  </si>
  <si>
    <t>TS1 (Princ PB) - TS4 (Quincho)</t>
  </si>
  <si>
    <t>TS4 (Quincho) - TS5 (Pileta)</t>
  </si>
  <si>
    <t>TS1 (Princ PB) - TS6 (SUM)</t>
  </si>
  <si>
    <t>TPA</t>
  </si>
  <si>
    <t>TS2 Cargador de Auto</t>
  </si>
  <si>
    <t>TS3 (Tablero Planta alta</t>
  </si>
  <si>
    <t>TS4 (Tablero Quincho)</t>
  </si>
  <si>
    <t>TS5 (Tablero de Pileta)</t>
  </si>
  <si>
    <t>TS6 (Tablero SUM)</t>
  </si>
  <si>
    <t xml:space="preserve">Tablero Medidor auto </t>
  </si>
  <si>
    <t>TMA</t>
  </si>
  <si>
    <t>TS2</t>
  </si>
  <si>
    <t>TS3</t>
  </si>
  <si>
    <t>TS4</t>
  </si>
  <si>
    <t>TS5</t>
  </si>
  <si>
    <t>TS6</t>
  </si>
  <si>
    <t>Sistema de puesta a tierra</t>
  </si>
  <si>
    <t>SUM</t>
  </si>
  <si>
    <t>Planta alta</t>
  </si>
  <si>
    <t>Quincho</t>
  </si>
  <si>
    <t>CANT</t>
  </si>
  <si>
    <t>Tablero 1 (Principal)</t>
  </si>
  <si>
    <t>Tablero 2 (Cargador de auto cochera)</t>
  </si>
  <si>
    <t>Tablero 3 (Planta alta)</t>
  </si>
  <si>
    <t>Tablero de Acometida</t>
  </si>
  <si>
    <t>Tablero 4 (Quincho)</t>
  </si>
  <si>
    <t>Tablero 5 (Pileta)</t>
  </si>
  <si>
    <t>Tablero 6 (SUM)</t>
  </si>
  <si>
    <t>Kit de jabalina de 5/8 y 2 mts prof</t>
  </si>
  <si>
    <t xml:space="preserve">Numero </t>
  </si>
  <si>
    <t>designacion</t>
  </si>
  <si>
    <t xml:space="preserve">coneccion de cable desnudo </t>
  </si>
  <si>
    <t>Cable de 16 mm, soterrado que une jabalinas</t>
  </si>
  <si>
    <t>Zona</t>
  </si>
  <si>
    <t>Descripcion de canalizacion</t>
  </si>
  <si>
    <t>TABLEROS</t>
  </si>
  <si>
    <t>Ts6 (mono o trifasico??)</t>
  </si>
  <si>
    <t>C1</t>
  </si>
  <si>
    <t>N de toma</t>
  </si>
  <si>
    <t>circuito</t>
  </si>
  <si>
    <t>C2</t>
  </si>
  <si>
    <t>C3</t>
  </si>
  <si>
    <t>C4</t>
  </si>
  <si>
    <t>C5</t>
  </si>
  <si>
    <t>C6</t>
  </si>
  <si>
    <t>Conector</t>
  </si>
  <si>
    <t>TS 4</t>
  </si>
  <si>
    <t>TS 1</t>
  </si>
  <si>
    <t>TS 3</t>
  </si>
  <si>
    <t>TS 5</t>
  </si>
  <si>
    <t>C7</t>
  </si>
  <si>
    <t>C8</t>
  </si>
  <si>
    <t>C9</t>
  </si>
  <si>
    <t>Ts6 (3000 o 6000watt??)</t>
  </si>
  <si>
    <t>M lineal cable</t>
  </si>
  <si>
    <t>NOCIONES PRIMARIAS DEL COMPUTO DE MATERIALES</t>
  </si>
  <si>
    <t>Computo de tomacorrientes de uso general</t>
  </si>
  <si>
    <t xml:space="preserve"> </t>
  </si>
  <si>
    <t>LLAVE</t>
  </si>
  <si>
    <t>LL01</t>
  </si>
  <si>
    <t>LL02</t>
  </si>
  <si>
    <t>LL03</t>
  </si>
  <si>
    <t>LL04</t>
  </si>
  <si>
    <t>LL05</t>
  </si>
  <si>
    <t>LL06</t>
  </si>
  <si>
    <t>LL07</t>
  </si>
  <si>
    <t>LL08</t>
  </si>
  <si>
    <t>LL09</t>
  </si>
  <si>
    <t>LL10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</si>
  <si>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</si>
  <si>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</si>
  <si>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</si>
  <si>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</si>
  <si>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</si>
  <si>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</si>
  <si>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</si>
  <si>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</si>
  <si>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</si>
  <si>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</si>
  <si>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</si>
  <si>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</si>
  <si>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</si>
  <si>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</si>
  <si>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</si>
  <si>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</si>
  <si>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</si>
  <si>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</si>
  <si>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</si>
  <si>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</si>
  <si>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</si>
  <si>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</si>
  <si>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</si>
  <si>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</si>
  <si>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</si>
  <si>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LL36</t>
  </si>
  <si>
    <t>LL37</t>
  </si>
  <si>
    <t>LL38</t>
  </si>
  <si>
    <t>LL39</t>
  </si>
  <si>
    <t>LL40</t>
  </si>
  <si>
    <t>LL41</t>
  </si>
  <si>
    <t>LL42</t>
  </si>
  <si>
    <t>LL43</t>
  </si>
  <si>
    <t>LL44</t>
  </si>
  <si>
    <t>LL45</t>
  </si>
  <si>
    <t>LL46</t>
  </si>
  <si>
    <t>LL47</t>
  </si>
  <si>
    <t>LL48</t>
  </si>
  <si>
    <t>LL49</t>
  </si>
  <si>
    <t>LL50</t>
  </si>
  <si>
    <t>LL51</t>
  </si>
  <si>
    <t>LL52</t>
  </si>
  <si>
    <t>LL53</t>
  </si>
  <si>
    <t>LL54</t>
  </si>
  <si>
    <t>Total Matematico</t>
  </si>
  <si>
    <t xml:space="preserve">TOTAL redondeo </t>
  </si>
  <si>
    <t>Cable Celeste</t>
  </si>
  <si>
    <t>Cable Verde Am.</t>
  </si>
  <si>
    <t>corrugado D 25</t>
  </si>
  <si>
    <t>UNION</t>
  </si>
  <si>
    <t>Cable Marron</t>
  </si>
  <si>
    <t>Mts lineal</t>
  </si>
  <si>
    <t>CABLEADO DE 2,5 mm</t>
  </si>
  <si>
    <t>CANALIZACION DIAM 25</t>
  </si>
  <si>
    <t>Toma doble 10A</t>
  </si>
  <si>
    <t>ARMADO DE ARTEFACTO 2,5 mm</t>
  </si>
  <si>
    <t>CABLEADO DE 4 mm</t>
  </si>
  <si>
    <t>N de boca</t>
  </si>
  <si>
    <t>ACU 01</t>
  </si>
  <si>
    <t>ACU 02</t>
  </si>
  <si>
    <t>ACU 03</t>
  </si>
  <si>
    <t>ACU 04</t>
  </si>
  <si>
    <t>ACU 05</t>
  </si>
  <si>
    <t>ACU 06</t>
  </si>
  <si>
    <t>ACU 07</t>
  </si>
  <si>
    <t>ACU 10</t>
  </si>
  <si>
    <t>ACU 11</t>
  </si>
  <si>
    <t>ACU 12</t>
  </si>
  <si>
    <t>ACU 13</t>
  </si>
  <si>
    <t>ACU 14</t>
  </si>
  <si>
    <t>TUE 01</t>
  </si>
  <si>
    <t>TS 6</t>
  </si>
  <si>
    <t>Computo de Tomacorrientes de Uso Especial</t>
  </si>
  <si>
    <t>ARMADO DE ARTEFACTO 1,5 mm</t>
  </si>
  <si>
    <t>CANALIZACION DIAM 22</t>
  </si>
  <si>
    <t>corrugado D 22</t>
  </si>
  <si>
    <t>CABLES DE 1,5 mm</t>
  </si>
  <si>
    <t>CELESTE</t>
  </si>
  <si>
    <t>VERDE-AM</t>
  </si>
  <si>
    <t>MARRON</t>
  </si>
  <si>
    <t>NEGRO</t>
  </si>
  <si>
    <t>TECLA 1 PUNTO</t>
  </si>
  <si>
    <t>TECLA 2 PUNTOS</t>
  </si>
  <si>
    <t>CAJA 7*7</t>
  </si>
  <si>
    <t>Conector 22</t>
  </si>
  <si>
    <t>UNION 22</t>
  </si>
  <si>
    <t xml:space="preserve">Circuito </t>
  </si>
  <si>
    <t>Obervación</t>
  </si>
  <si>
    <t>Circuito</t>
  </si>
  <si>
    <t>PUNTOS</t>
  </si>
  <si>
    <t>1 mini</t>
  </si>
  <si>
    <t>Efecto 1</t>
  </si>
  <si>
    <t>Efecto 2</t>
  </si>
  <si>
    <t>B32</t>
  </si>
  <si>
    <t>2PM</t>
  </si>
  <si>
    <t>DISP Shelly</t>
  </si>
  <si>
    <t>4 PM + 3 mini</t>
  </si>
  <si>
    <t>I4 + 3 Mini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</si>
  <si>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</si>
  <si>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</si>
  <si>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</si>
  <si>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</si>
  <si>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</si>
  <si>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</si>
  <si>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</si>
  <si>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</si>
  <si>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</si>
  <si>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</si>
  <si>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</si>
  <si>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</si>
  <si>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</si>
  <si>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</si>
  <si>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</si>
  <si>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</si>
  <si>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</si>
  <si>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</si>
  <si>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</si>
  <si>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</si>
  <si>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</si>
  <si>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</si>
  <si>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</si>
  <si>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</si>
  <si>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</si>
  <si>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</si>
  <si>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</si>
  <si>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</si>
  <si>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</si>
  <si>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</si>
  <si>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</si>
  <si>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</si>
  <si>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</si>
  <si>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</si>
  <si>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</si>
  <si>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</si>
  <si>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</si>
  <si>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</si>
  <si>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</si>
  <si>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</si>
  <si>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</si>
  <si>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</si>
  <si>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</si>
  <si>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</si>
  <si>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</si>
  <si>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</si>
  <si>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</si>
  <si>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</si>
  <si>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</si>
  <si>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</si>
  <si>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B54</t>
  </si>
  <si>
    <t>B55</t>
  </si>
  <si>
    <t>B56</t>
  </si>
  <si>
    <t>B57</t>
  </si>
  <si>
    <t>B58</t>
  </si>
  <si>
    <t>B59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</si>
  <si>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</si>
  <si>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</si>
  <si>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</si>
  <si>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</si>
  <si>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</si>
  <si>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</si>
  <si>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</si>
  <si>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</si>
  <si>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</si>
  <si>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</si>
  <si>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</si>
  <si>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</si>
  <si>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</si>
  <si>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</si>
  <si>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</si>
  <si>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</si>
  <si>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</si>
  <si>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</si>
  <si>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</si>
  <si>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</si>
  <si>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</si>
  <si>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</si>
  <si>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</si>
  <si>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</si>
  <si>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</si>
  <si>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</si>
  <si>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</si>
  <si>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</si>
  <si>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</si>
  <si>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</si>
  <si>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</si>
  <si>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</si>
  <si>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</si>
  <si>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</si>
  <si>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</si>
  <si>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</si>
  <si>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</si>
  <si>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</si>
  <si>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</si>
  <si>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</si>
  <si>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</si>
  <si>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</si>
  <si>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</si>
  <si>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</si>
  <si>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</si>
  <si>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</si>
  <si>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</si>
  <si>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</si>
  <si>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</si>
  <si>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</si>
  <si>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</si>
  <si>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</si>
  <si>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</si>
  <si>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</si>
  <si>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</si>
  <si>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</si>
  <si>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</si>
  <si>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</si>
  <si>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</si>
  <si>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</si>
  <si>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</si>
  <si>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</si>
  <si>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</si>
  <si>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</si>
  <si>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</si>
  <si>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</si>
  <si>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</si>
  <si>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</si>
  <si>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</si>
  <si>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</si>
  <si>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</si>
  <si>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</si>
  <si>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</si>
  <si>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</si>
  <si>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</si>
  <si>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</si>
  <si>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</si>
  <si>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</si>
  <si>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</si>
  <si>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</si>
  <si>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</si>
  <si>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</si>
  <si>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</si>
  <si>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</si>
  <si>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</si>
  <si>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</si>
  <si>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</si>
  <si>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</si>
  <si>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</si>
  <si>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</si>
  <si>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</si>
  <si>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</si>
  <si>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</si>
  <si>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</si>
  <si>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</si>
  <si>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</si>
  <si>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</si>
  <si>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</si>
  <si>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</si>
  <si>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</si>
  <si>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</si>
  <si>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</si>
  <si>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</si>
  <si>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</si>
  <si>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</si>
  <si>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</si>
  <si>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</si>
  <si>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</si>
  <si>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</si>
  <si>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</si>
  <si>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</si>
  <si>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</si>
  <si>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</si>
  <si>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</si>
  <si>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</si>
  <si>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</si>
  <si>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</si>
  <si>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</si>
  <si>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</si>
  <si>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</si>
  <si>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</si>
  <si>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</si>
  <si>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</si>
  <si>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</si>
  <si>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</si>
  <si>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</si>
  <si>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</si>
  <si>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</si>
  <si>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</si>
  <si>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</si>
  <si>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</si>
  <si>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</si>
  <si>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</si>
  <si>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</si>
  <si>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</si>
  <si>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</si>
  <si>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</si>
  <si>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</si>
  <si>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</si>
  <si>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</si>
  <si>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</si>
  <si>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</si>
  <si>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</si>
  <si>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</si>
  <si>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</si>
  <si>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</si>
  <si>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</si>
  <si>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</si>
  <si>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</si>
  <si>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IUG-C1</t>
  </si>
  <si>
    <t>Ef 1</t>
  </si>
  <si>
    <t>Ef 2</t>
  </si>
  <si>
    <t>Ef 3</t>
  </si>
  <si>
    <t>efecto 3</t>
  </si>
  <si>
    <t>Ef 4</t>
  </si>
  <si>
    <t>Ef 5</t>
  </si>
  <si>
    <t>Ef 6</t>
  </si>
  <si>
    <t>Ef 7</t>
  </si>
  <si>
    <t>Ef 6 (Combina LL06 y LL54)</t>
  </si>
  <si>
    <t>Ef 8</t>
  </si>
  <si>
    <t>Ef 9</t>
  </si>
  <si>
    <t>Ef 9 (Combina LL08 y LL51)</t>
  </si>
  <si>
    <t>Ef10</t>
  </si>
  <si>
    <t>Ef11</t>
  </si>
  <si>
    <t>Ef12</t>
  </si>
  <si>
    <t>Ef13</t>
  </si>
  <si>
    <t>Ef15</t>
  </si>
  <si>
    <t>Ef14</t>
  </si>
  <si>
    <t>Ef16</t>
  </si>
  <si>
    <t>Ef17</t>
  </si>
  <si>
    <t>Ef18</t>
  </si>
  <si>
    <t>Ef19</t>
  </si>
  <si>
    <t>Ef20</t>
  </si>
  <si>
    <t>Ef30</t>
  </si>
  <si>
    <t>Ef21</t>
  </si>
  <si>
    <t>Ef22</t>
  </si>
  <si>
    <t>Ef23</t>
  </si>
  <si>
    <t>Ef24</t>
  </si>
  <si>
    <t>Ef25</t>
  </si>
  <si>
    <t>Ef27</t>
  </si>
  <si>
    <t>Ef28</t>
  </si>
  <si>
    <t>Ef38</t>
  </si>
  <si>
    <t>Ef29</t>
  </si>
  <si>
    <t>Ef26</t>
  </si>
  <si>
    <t>Ef31</t>
  </si>
  <si>
    <t>Ef32</t>
  </si>
  <si>
    <t>Ef33</t>
  </si>
  <si>
    <t>Ef34</t>
  </si>
  <si>
    <t>Ef35</t>
  </si>
  <si>
    <t>Ef36</t>
  </si>
  <si>
    <t>Ef37</t>
  </si>
  <si>
    <t>Ef39</t>
  </si>
  <si>
    <t>Ef40</t>
  </si>
  <si>
    <t>Ef41</t>
  </si>
  <si>
    <t>Ef42</t>
  </si>
  <si>
    <t>Ef43</t>
  </si>
  <si>
    <t>Ef44</t>
  </si>
  <si>
    <t>Ef45</t>
  </si>
  <si>
    <t>Ef47</t>
  </si>
  <si>
    <t>Ef48</t>
  </si>
  <si>
    <t>Ef49</t>
  </si>
  <si>
    <t>Ef50</t>
  </si>
  <si>
    <t>Ef51</t>
  </si>
  <si>
    <t>Ef52</t>
  </si>
  <si>
    <t>Ef53</t>
  </si>
  <si>
    <t>Ef55</t>
  </si>
  <si>
    <t>Ef56</t>
  </si>
  <si>
    <t>Ef57</t>
  </si>
  <si>
    <t>Ef58</t>
  </si>
  <si>
    <t>Ef59</t>
  </si>
  <si>
    <t>Ef61</t>
  </si>
  <si>
    <t>Ef64</t>
  </si>
  <si>
    <t>Ef65</t>
  </si>
  <si>
    <t>Ef66</t>
  </si>
  <si>
    <t>Ef67</t>
  </si>
  <si>
    <t>Ef68</t>
  </si>
  <si>
    <t>Ef69</t>
  </si>
  <si>
    <t>Ef70</t>
  </si>
  <si>
    <t>Ef72</t>
  </si>
  <si>
    <t>Ef73</t>
  </si>
  <si>
    <t>Ef74</t>
  </si>
  <si>
    <t>Ef78</t>
  </si>
  <si>
    <t>Ef79</t>
  </si>
  <si>
    <t>Ef80</t>
  </si>
  <si>
    <t>Ef34b</t>
  </si>
  <si>
    <t>Ef53 (combina con LL34)</t>
  </si>
  <si>
    <t>Ef53 (combina con LL33)</t>
  </si>
  <si>
    <t>Ef59 (Combina con LL39)</t>
  </si>
  <si>
    <t>Ef59 (Combina con LL38)</t>
  </si>
  <si>
    <t>Ef61 (Combina con 41 y 42)</t>
  </si>
  <si>
    <t>Ef61 (Combina con 40 y 42)</t>
  </si>
  <si>
    <t>Ef61 (Combina con 40 y 41)</t>
  </si>
  <si>
    <t>Ef70 (Combina con 47)</t>
  </si>
  <si>
    <t>Ef70 (Combina con 48)</t>
  </si>
  <si>
    <t>Ef78 (Combina con 53)</t>
  </si>
  <si>
    <t>Ef78 (Combina con 52)</t>
  </si>
  <si>
    <t>Ef46</t>
  </si>
  <si>
    <t>LL55</t>
  </si>
  <si>
    <t>Ef81</t>
  </si>
  <si>
    <t>LL56</t>
  </si>
  <si>
    <t>Ef82</t>
  </si>
  <si>
    <t>LL57</t>
  </si>
  <si>
    <t>Ef73 y Ef74 (Combina con LL50 y LL51)</t>
  </si>
  <si>
    <t>Ef73 y Ef74 (Combina con LL50 y LL56)</t>
  </si>
  <si>
    <t>Ef73 y Ef74 (Combina con LL51 y LL56)</t>
  </si>
  <si>
    <t>TECLA 3 PUNTOS</t>
  </si>
  <si>
    <t>COMPUTO DE TECLAS, EFECTOS Y DISPOSITIVOS INALÁMBRICOS</t>
  </si>
  <si>
    <t>LED (5M cable paralelo)</t>
  </si>
  <si>
    <t>Caja 10*5</t>
  </si>
  <si>
    <t>Caja 10x5</t>
  </si>
  <si>
    <t>Gabinete metalico modular 72 modulos IP40</t>
  </si>
  <si>
    <t>Protector contra sobretensiones (DPS) tetrapolar</t>
  </si>
  <si>
    <t>Interruptor termomagnetico tetrapolar 40A</t>
  </si>
  <si>
    <t>Interruptor termomagnetico bipolar 20A</t>
  </si>
  <si>
    <t>Interruptor termomagnetico bipolar 16A</t>
  </si>
  <si>
    <t>Interruptor termomagnetico bipolar 10A</t>
  </si>
  <si>
    <t>Interruptor diferencial bipolar 40A 30mA Clase AC</t>
  </si>
  <si>
    <t>Bornera de conexion de neutro (11 vias)</t>
  </si>
  <si>
    <t>Bornera de conexion de tierra PE (11 vias)</t>
  </si>
  <si>
    <t>Bornera de conexion de neutro</t>
  </si>
  <si>
    <t>Bornera de conexion de tierra PE</t>
  </si>
  <si>
    <t>Interruptor termomagnetico bipolar 25A</t>
  </si>
  <si>
    <t>Interruptor termomagnetico tetrapolar 32A</t>
  </si>
  <si>
    <t>Interruptor diferencial bipolar 40A 10mA Clase AC (alta sensibilidad)</t>
  </si>
  <si>
    <t>Conector/terminal para peine de conexion</t>
  </si>
  <si>
    <t>Terminal preaislado tipo TIF 4mm2</t>
  </si>
  <si>
    <t>Terminal preaislado tipo TIF 2,5mm2</t>
  </si>
  <si>
    <t>Terminal preaislado tipo TIF 1,5mm2</t>
  </si>
  <si>
    <t>Precinto plastico de nylon (bolsa x100)</t>
  </si>
  <si>
    <t>Cinta aisladora vinilica</t>
  </si>
  <si>
    <t>Cinta para rotuladora/etiquetadora</t>
  </si>
  <si>
    <t>Peine de conexión 56 polos (puente de interconexion)</t>
  </si>
  <si>
    <t>Gabinete gris Estanco Ip65 Para Termicas Bajada Pilar 8 Polos</t>
  </si>
  <si>
    <t>Puntera tubular TIF 6mm2</t>
  </si>
  <si>
    <t>Gabinete Tablero Con riel Din Termicas de 12 polos</t>
  </si>
  <si>
    <t>Bornera repartidora de carga tetrapolar 100a 250/450v c/7 salidas p/riel din con tapa</t>
  </si>
  <si>
    <t>Protector De Polos Brinna P/peines De Conexion Electrico</t>
  </si>
  <si>
    <t>Gabinete Tablero plastico o metalico con riel Din Termicas de 54 polos</t>
  </si>
  <si>
    <t>Gabinete Tablero plastico o metalico con riel Din Termicas de 30 polos</t>
  </si>
  <si>
    <t>Otros componentes para armar tableros</t>
  </si>
  <si>
    <t>Gabinete plastico para tablero electrico 16 polos</t>
  </si>
  <si>
    <t>Interruptor diferencial tetra polar 63A 30mA - Clase B</t>
  </si>
  <si>
    <t>PARALELO de SONIDO 0,5</t>
  </si>
  <si>
    <t>Cant Laves</t>
  </si>
  <si>
    <t>Cant Efectos</t>
  </si>
  <si>
    <t>Interruptor diferencial bipolar 63A 30mA Clase AC</t>
  </si>
  <si>
    <t>Interruptor termomagnetico tetrapolar 80A curva C</t>
  </si>
  <si>
    <t>Interruptor termomagnetico tetrapolar 63A</t>
  </si>
  <si>
    <t>Interruptor termomagnetico tetrapolar 25A</t>
  </si>
  <si>
    <t>Interruptor termomagnetico tetrapolar 50A curva C</t>
  </si>
  <si>
    <t xml:space="preserve">IUG </t>
  </si>
  <si>
    <t>BOCA</t>
  </si>
  <si>
    <t>Access Point 01</t>
  </si>
  <si>
    <t>Access Point 02</t>
  </si>
  <si>
    <t>SD01</t>
  </si>
  <si>
    <t>SD02</t>
  </si>
  <si>
    <t>SD03</t>
  </si>
  <si>
    <t>SD04</t>
  </si>
  <si>
    <t>SD05</t>
  </si>
  <si>
    <t>SD06</t>
  </si>
  <si>
    <t>SD07</t>
  </si>
  <si>
    <t>SD08</t>
  </si>
  <si>
    <t>SD09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</si>
  <si>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</si>
  <si>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</si>
  <si>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</si>
  <si>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</si>
  <si>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</si>
  <si>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</si>
  <si>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</si>
  <si>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</si>
  <si>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</si>
  <si>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</si>
  <si>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SD20</t>
  </si>
  <si>
    <t>Access Point 03</t>
  </si>
  <si>
    <t>SD00</t>
  </si>
  <si>
    <t xml:space="preserve">Caja estanca </t>
  </si>
  <si>
    <t>Caja 10x10x10</t>
  </si>
  <si>
    <t>Living</t>
  </si>
  <si>
    <t>Computo de materiales por Nova Domus</t>
  </si>
  <si>
    <t>Estudio jad - Casa JB - Campos del virrey</t>
  </si>
  <si>
    <t>Hoja 01</t>
  </si>
  <si>
    <t>Hoja 2</t>
  </si>
  <si>
    <t>COMPUTO DE ALIMENTADORES DE TABLEROS</t>
  </si>
  <si>
    <t>Tipo de cable</t>
  </si>
  <si>
    <t xml:space="preserve">4x16mm subterraneo </t>
  </si>
  <si>
    <t xml:space="preserve">4x10mm Subterraneo </t>
  </si>
  <si>
    <t>4x6mm Subterraneo</t>
  </si>
  <si>
    <t>2x6mm Subterraneo</t>
  </si>
  <si>
    <t>4x10 unipolar mm</t>
  </si>
  <si>
    <t>4x6 subterraneo</t>
  </si>
  <si>
    <t xml:space="preserve">Soterrado </t>
  </si>
  <si>
    <t xml:space="preserve">Canalizado </t>
  </si>
  <si>
    <t>Canalizado hasta jabalina</t>
  </si>
  <si>
    <t>10mm VerdeAmarillo</t>
  </si>
  <si>
    <t xml:space="preserve">16mm cable desnudo </t>
  </si>
  <si>
    <t>Apique</t>
  </si>
  <si>
    <t>Horno</t>
  </si>
  <si>
    <t>Microondas</t>
  </si>
  <si>
    <t>Cafetera</t>
  </si>
  <si>
    <t>Cinta caminadora</t>
  </si>
  <si>
    <t>Escaladora</t>
  </si>
  <si>
    <t xml:space="preserve">Tablero </t>
  </si>
  <si>
    <t>Corrugado D 32</t>
  </si>
  <si>
    <t>Embebido en techo paso por caja 2</t>
  </si>
  <si>
    <t>Tipo de Canalización</t>
  </si>
  <si>
    <t>Corrugado D25</t>
  </si>
  <si>
    <t>Conector 25</t>
  </si>
  <si>
    <t>Embebido en techo y embutido pared</t>
  </si>
  <si>
    <t xml:space="preserve">Embutido en piso </t>
  </si>
  <si>
    <t>Embebido en techo paso por caja 1</t>
  </si>
  <si>
    <t>Embutido en pared</t>
  </si>
  <si>
    <t>Sumatoria</t>
  </si>
  <si>
    <t xml:space="preserve">Embutido en pared y piso </t>
  </si>
  <si>
    <t>(AA1) 5000 fr</t>
  </si>
  <si>
    <t>(AA2) 5000 fr</t>
  </si>
  <si>
    <t>(AA3) 5000 fr</t>
  </si>
  <si>
    <t>(AA4) 5000 fr</t>
  </si>
  <si>
    <t>(AA5) 5000 fr</t>
  </si>
  <si>
    <t>(AA6) 5000 fr</t>
  </si>
  <si>
    <t>(AA7) 5000 fr</t>
  </si>
  <si>
    <t>(AA8) 3500 fr</t>
  </si>
  <si>
    <t>ACU 8</t>
  </si>
  <si>
    <t>ACU 9</t>
  </si>
  <si>
    <t>Sauna</t>
  </si>
  <si>
    <t>Jacuzzi</t>
  </si>
  <si>
    <t>(AA9) 3500 fr</t>
  </si>
  <si>
    <t>(AA10) 3500 fr</t>
  </si>
  <si>
    <t>(AA11) 3500 fr</t>
  </si>
  <si>
    <t>(AA12) 3500 fr</t>
  </si>
  <si>
    <t>Comaprte cañeria de 32 con TUE11</t>
  </si>
  <si>
    <t>UNION 25</t>
  </si>
  <si>
    <t>CONECTOR 32</t>
  </si>
  <si>
    <t>UNION 32</t>
  </si>
  <si>
    <t>Caja 10X10X10</t>
  </si>
  <si>
    <t>OBSERVACIONES</t>
  </si>
  <si>
    <t>A definir con la ficha tecnica del producto</t>
  </si>
  <si>
    <t>CAJAS</t>
  </si>
  <si>
    <t>Rack</t>
  </si>
  <si>
    <t>Ubicación</t>
  </si>
  <si>
    <t>Detalle</t>
  </si>
  <si>
    <t>Lavadero</t>
  </si>
  <si>
    <t>Pasillo planta baja</t>
  </si>
  <si>
    <t>Galeria interna</t>
  </si>
  <si>
    <t>Pasillo planta alta</t>
  </si>
  <si>
    <t>TV</t>
  </si>
  <si>
    <t>Play room</t>
  </si>
  <si>
    <t>Dormi1</t>
  </si>
  <si>
    <t>Dormi2</t>
  </si>
  <si>
    <t>Dormi3</t>
  </si>
  <si>
    <t xml:space="preserve">N de corrugado </t>
  </si>
  <si>
    <t>Corr 32</t>
  </si>
  <si>
    <t>Corr 25</t>
  </si>
  <si>
    <t>Cant. de UTP</t>
  </si>
  <si>
    <t xml:space="preserve">Caja 30x30x10 </t>
  </si>
  <si>
    <t>Rack principal</t>
  </si>
  <si>
    <t xml:space="preserve">Portero </t>
  </si>
  <si>
    <t>Control de acceso</t>
  </si>
  <si>
    <t>Caja 5x10 impactada</t>
  </si>
  <si>
    <t>Canal. 12</t>
  </si>
  <si>
    <t>Canal. 13</t>
  </si>
  <si>
    <t>Canal. 14</t>
  </si>
  <si>
    <t>Canal. 15</t>
  </si>
  <si>
    <t>Canal. 16</t>
  </si>
  <si>
    <t>Canal. 17</t>
  </si>
  <si>
    <t>Canal. 18</t>
  </si>
  <si>
    <t>Canal. 19</t>
  </si>
  <si>
    <t>Canal. 01</t>
  </si>
  <si>
    <t>Canal. 02</t>
  </si>
  <si>
    <t>Canal. 03</t>
  </si>
  <si>
    <t>Canal. 04</t>
  </si>
  <si>
    <t>Canal. 05</t>
  </si>
  <si>
    <t>Canal. 06</t>
  </si>
  <si>
    <t>Canal. 07</t>
  </si>
  <si>
    <t>Canal. 08</t>
  </si>
  <si>
    <t>Canal. 09</t>
  </si>
  <si>
    <t>Canal. 10</t>
  </si>
  <si>
    <t>Canal. 11 (Swich)</t>
  </si>
  <si>
    <t>Unidades</t>
  </si>
  <si>
    <t>Swich</t>
  </si>
  <si>
    <t>Dormi Princ.</t>
  </si>
  <si>
    <t>Central</t>
  </si>
  <si>
    <t>COMPUTO DE SEÑALES DEBILES</t>
  </si>
  <si>
    <t>Designacion de componentes</t>
  </si>
  <si>
    <t>Pileta</t>
  </si>
  <si>
    <t>Ingreso pb</t>
  </si>
  <si>
    <t>Techo patio interno</t>
  </si>
  <si>
    <t>Techo ingreso</t>
  </si>
  <si>
    <t>Cochera</t>
  </si>
  <si>
    <t>Camara exterior</t>
  </si>
  <si>
    <t>Camara interior</t>
  </si>
  <si>
    <t>COMPUTO DE TECLAS Y EFECTOS</t>
  </si>
  <si>
    <t>Computo UTP</t>
  </si>
  <si>
    <t>Toma exterior</t>
  </si>
  <si>
    <t>Alim. Cortinero 03</t>
  </si>
  <si>
    <t>Alim. Cortinero 01</t>
  </si>
  <si>
    <t>Alim. Cortinero 02</t>
  </si>
  <si>
    <t>Alim. Cortinero 11</t>
  </si>
  <si>
    <t>Alim. Cortinero 05</t>
  </si>
  <si>
    <t>Alim. Cortinero 06</t>
  </si>
  <si>
    <t>Alim. Cortinero 07</t>
  </si>
  <si>
    <t>Alim. Cortinero 08</t>
  </si>
  <si>
    <t>Alim. Cortinero 09</t>
  </si>
  <si>
    <t>Alim. Cortinero 10</t>
  </si>
  <si>
    <t>Alim. Cortinero 12</t>
  </si>
  <si>
    <t>Alim. Cortinero 13</t>
  </si>
  <si>
    <t>Alim. Cortinero 14</t>
  </si>
  <si>
    <t>Alim. Cortinero 15</t>
  </si>
  <si>
    <t>Alim. Cortinero 17</t>
  </si>
  <si>
    <t>Alim. Cortinero 16</t>
  </si>
  <si>
    <t>Luminaria</t>
  </si>
  <si>
    <t xml:space="preserve">De embutir en cielo raso </t>
  </si>
  <si>
    <t xml:space="preserve">De pared, cielo tierra </t>
  </si>
  <si>
    <t>Extractor</t>
  </si>
  <si>
    <t>IUG-C2</t>
  </si>
  <si>
    <t>IUG-C3</t>
  </si>
  <si>
    <t>IUG-C4</t>
  </si>
  <si>
    <t>Spot de aplicar en techo</t>
  </si>
  <si>
    <t>B43b</t>
  </si>
  <si>
    <t>Artefacto colgante</t>
  </si>
  <si>
    <t>IUG-C5</t>
  </si>
  <si>
    <t>IUG-C6</t>
  </si>
  <si>
    <t>IUG-C7</t>
  </si>
  <si>
    <t>Aplique de techo exterior</t>
  </si>
  <si>
    <t>Ef83</t>
  </si>
  <si>
    <t>Ef84</t>
  </si>
  <si>
    <t>Tortuga de asador</t>
  </si>
  <si>
    <t>Aplique pared interior</t>
  </si>
  <si>
    <t>LED (12M cable paralelo)</t>
  </si>
  <si>
    <t>IUG-C9</t>
  </si>
  <si>
    <t>IUG-C10</t>
  </si>
  <si>
    <t>IUG-C15</t>
  </si>
  <si>
    <t>IUG-C8</t>
  </si>
  <si>
    <t>LL20B</t>
  </si>
  <si>
    <t>LED X2 (15M cable paralelo)</t>
  </si>
  <si>
    <t>IUG-14</t>
  </si>
  <si>
    <t>IUG-C11</t>
  </si>
  <si>
    <t>IUG-12</t>
  </si>
  <si>
    <t>IUG-13</t>
  </si>
  <si>
    <t>Repartidor de fases (bloque distribuidor) 7 vias 100A</t>
  </si>
  <si>
    <t>Interruptor diferencial bipolar 25A 10mA Clase (solo para luces pileta)</t>
  </si>
  <si>
    <t>Interruptor termomagnetico bipolar 15A</t>
  </si>
  <si>
    <t xml:space="preserve">Unidad </t>
  </si>
  <si>
    <t>Rollo de 25 m</t>
  </si>
  <si>
    <t>Unidad</t>
  </si>
  <si>
    <t>unidad</t>
  </si>
  <si>
    <t>Mt lineal</t>
  </si>
  <si>
    <t>Artefacto</t>
  </si>
  <si>
    <t>Toma 20A</t>
  </si>
  <si>
    <t>Toma ficha 20A</t>
  </si>
  <si>
    <t>Caja 5x5</t>
  </si>
  <si>
    <t>T. doble Exterior 10A</t>
  </si>
  <si>
    <t>Computo de Señales debiles</t>
  </si>
  <si>
    <t>Gabinetes 40*30</t>
  </si>
  <si>
    <t>Artefacto riel colgante</t>
  </si>
  <si>
    <t>plafon de embutir</t>
  </si>
  <si>
    <t>Aplique cielo tierra</t>
  </si>
  <si>
    <t>Cant</t>
  </si>
  <si>
    <t>Tipo de aplique</t>
  </si>
  <si>
    <t>lampara</t>
  </si>
  <si>
    <t>COMPUTO DE TOMACORRIENTES DE USO GENERAL</t>
  </si>
  <si>
    <t>Computo de LUMINARIAS</t>
  </si>
  <si>
    <t>Tira led</t>
  </si>
  <si>
    <t>Lamp por aplique</t>
  </si>
  <si>
    <t>Tipo de lampara</t>
  </si>
  <si>
    <t>Dicroica calida 7w</t>
  </si>
  <si>
    <t>Dicroica calida 7w dimmer</t>
  </si>
  <si>
    <t>Metros lineal</t>
  </si>
  <si>
    <t>Uni</t>
  </si>
  <si>
    <t>fuente para led 100 w 24v dimmer</t>
  </si>
  <si>
    <t>fuente para led 200 w 24v dimmer</t>
  </si>
  <si>
    <t>Tira led 3000k 15v x 5metros</t>
  </si>
  <si>
    <t>COMPUTO DE LUMINARIAS Y LAMPARAS</t>
  </si>
  <si>
    <t>COMPUTO TABLEROS</t>
  </si>
  <si>
    <t>COMPUTO DE ACOMETIDAS UNICAS Y TOMACORRIENTES DE USO ESPECIAL</t>
  </si>
  <si>
    <t>COMPUTO DE BOCAS DE ILUMINACION DE USO GENERAL</t>
  </si>
  <si>
    <t>Boca</t>
  </si>
  <si>
    <t>120ml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</si>
</sst>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CBAD"/>
      </patternFill>
    </fill>
    <fill>
      <patternFill patternType="solid">
        <fgColor rgb="FFA9D08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/>
    </xf>
    <xf numFmtId="0" fontId="0" fillId="7" borderId="0" xfId="0" applyFill="1"/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/>
    <xf numFmtId="0" fontId="0" fillId="7" borderId="1" xfId="0" applyFill="1" applyBorder="1"/>
    <xf numFmtId="0" fontId="0" fillId="0" borderId="0" xfId="0" applyFill="1"/>
    <xf numFmtId="0" fontId="0" fillId="8" borderId="1" xfId="0" applyFill="1" applyBorder="1"/>
    <xf numFmtId="0" fontId="0" fillId="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5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6" borderId="6" xfId="0" applyFill="1" applyBorder="1"/>
    <xf numFmtId="0" fontId="0" fillId="6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/>
    <xf numFmtId="0" fontId="0" fillId="9" borderId="10" xfId="0" applyFill="1" applyBorder="1"/>
    <xf numFmtId="0" fontId="0" fillId="9" borderId="11" xfId="0" applyFill="1" applyBorder="1" applyAlignment="1">
      <alignment horizontal="center"/>
    </xf>
    <xf numFmtId="0" fontId="0" fillId="9" borderId="12" xfId="0" applyFill="1" applyBorder="1"/>
    <xf numFmtId="0" fontId="0" fillId="0" borderId="5" xfId="0" applyFill="1" applyBorder="1"/>
    <xf numFmtId="0" fontId="0" fillId="0" borderId="6" xfId="0" applyFill="1" applyBorder="1"/>
    <xf numFmtId="0" fontId="0" fillId="6" borderId="7" xfId="0" applyFill="1" applyBorder="1" applyAlignment="1">
      <alignment horizontal="center"/>
    </xf>
    <xf numFmtId="0" fontId="0" fillId="0" borderId="9" xfId="0" applyFill="1" applyBorder="1"/>
    <xf numFmtId="0" fontId="0" fillId="2" borderId="10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/>
    <xf numFmtId="0" fontId="0" fillId="0" borderId="5" xfId="0" applyBorder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center"/>
    </xf>
    <xf numFmtId="0" fontId="0" fillId="0" borderId="15" xfId="0" applyFill="1" applyBorder="1"/>
    <xf numFmtId="0" fontId="0" fillId="0" borderId="16" xfId="0" applyFill="1" applyBorder="1"/>
    <xf numFmtId="0" fontId="0" fillId="0" borderId="7" xfId="0" applyFill="1" applyBorder="1"/>
    <xf numFmtId="0" fontId="0" fillId="7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20" xfId="0" applyFill="1" applyBorder="1"/>
    <xf numFmtId="0" fontId="2" fillId="7" borderId="2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Border="1"/>
    <xf numFmtId="0" fontId="0" fillId="2" borderId="11" xfId="0" applyFill="1" applyBorder="1" applyAlignment="1"/>
    <xf numFmtId="0" fontId="2" fillId="3" borderId="8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2" fillId="7" borderId="0" xfId="0" applyFont="1" applyFill="1"/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0" xfId="0"/>
    <xf numFmtId="0" fontId="0" fillId="0" borderId="7" xfId="0" applyFill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28" xfId="0" applyBorder="1"/>
    <xf numFmtId="0" fontId="2" fillId="0" borderId="1" xfId="0" applyFont="1" applyBorder="1"/>
    <xf numFmtId="0" fontId="0" fillId="8" borderId="18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" fillId="12" borderId="2" xfId="0" applyFont="1" applyFill="1" applyBorder="1"/>
    <xf numFmtId="0" fontId="6" fillId="12" borderId="4" xfId="0" applyFont="1" applyFill="1" applyBorder="1"/>
    <xf numFmtId="0" fontId="7" fillId="12" borderId="30" xfId="0" applyFont="1" applyFill="1" applyBorder="1"/>
    <xf numFmtId="0" fontId="6" fillId="12" borderId="31" xfId="0" applyFont="1" applyFill="1" applyBorder="1"/>
    <xf numFmtId="0" fontId="7" fillId="12" borderId="32" xfId="0" applyFont="1" applyFill="1" applyBorder="1"/>
    <xf numFmtId="0" fontId="8" fillId="12" borderId="33" xfId="0" applyFont="1" applyFill="1" applyBorder="1" applyAlignment="1">
      <alignment horizontal="right"/>
    </xf>
    <xf numFmtId="0" fontId="0" fillId="12" borderId="3" xfId="0" applyFill="1" applyBorder="1"/>
    <xf numFmtId="0" fontId="0" fillId="12" borderId="0" xfId="0" applyFill="1" applyBorder="1"/>
    <xf numFmtId="0" fontId="0" fillId="12" borderId="34" xfId="0" applyFill="1" applyBorder="1"/>
    <xf numFmtId="0" fontId="7" fillId="0" borderId="0" xfId="0" applyFont="1" applyFill="1" applyBorder="1"/>
    <xf numFmtId="0" fontId="0" fillId="0" borderId="0" xfId="0" applyFill="1" applyBorder="1"/>
    <xf numFmtId="0" fontId="8" fillId="0" borderId="0" xfId="0" applyFont="1" applyFill="1" applyBorder="1" applyAlignment="1">
      <alignment horizontal="right"/>
    </xf>
    <xf numFmtId="0" fontId="2" fillId="9" borderId="21" xfId="0" applyFont="1" applyFill="1" applyBorder="1" applyAlignment="1">
      <alignment horizontal="center"/>
    </xf>
    <xf numFmtId="0" fontId="0" fillId="0" borderId="35" xfId="0" applyFill="1" applyBorder="1"/>
    <xf numFmtId="0" fontId="0" fillId="0" borderId="18" xfId="0" applyFill="1" applyBorder="1"/>
    <xf numFmtId="0" fontId="0" fillId="9" borderId="36" xfId="0" applyFill="1" applyBorder="1" applyAlignment="1">
      <alignment horizontal="left"/>
    </xf>
    <xf numFmtId="0" fontId="0" fillId="9" borderId="37" xfId="0" applyFill="1" applyBorder="1" applyAlignment="1">
      <alignment horizontal="center"/>
    </xf>
    <xf numFmtId="0" fontId="0" fillId="9" borderId="38" xfId="0" applyFill="1" applyBorder="1"/>
    <xf numFmtId="0" fontId="0" fillId="0" borderId="19" xfId="0" applyFill="1" applyBorder="1"/>
    <xf numFmtId="0" fontId="0" fillId="9" borderId="38" xfId="0" applyFill="1" applyBorder="1" applyAlignment="1">
      <alignment horizontal="center"/>
    </xf>
    <xf numFmtId="0" fontId="0" fillId="0" borderId="39" xfId="0" applyBorder="1"/>
    <xf numFmtId="0" fontId="0" fillId="5" borderId="40" xfId="0" applyFill="1" applyBorder="1"/>
    <xf numFmtId="0" fontId="0" fillId="0" borderId="41" xfId="0" applyBorder="1"/>
    <xf numFmtId="0" fontId="0" fillId="8" borderId="41" xfId="0" applyFill="1" applyBorder="1"/>
    <xf numFmtId="0" fontId="0" fillId="0" borderId="42" xfId="0" applyBorder="1"/>
    <xf numFmtId="0" fontId="0" fillId="5" borderId="13" xfId="0" applyFill="1" applyBorder="1"/>
    <xf numFmtId="0" fontId="0" fillId="5" borderId="43" xfId="0" applyFill="1" applyBorder="1"/>
    <xf numFmtId="0" fontId="0" fillId="5" borderId="14" xfId="0" applyFill="1" applyBorder="1"/>
    <xf numFmtId="0" fontId="0" fillId="8" borderId="5" xfId="0" applyFill="1" applyBorder="1"/>
    <xf numFmtId="0" fontId="0" fillId="8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13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8" borderId="5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5" borderId="11" xfId="0" applyFill="1" applyBorder="1"/>
    <xf numFmtId="0" fontId="0" fillId="5" borderId="12" xfId="0" applyFill="1" applyBorder="1"/>
    <xf numFmtId="0" fontId="0" fillId="0" borderId="44" xfId="0" applyBorder="1"/>
    <xf numFmtId="0" fontId="0" fillId="0" borderId="45" xfId="0" applyBorder="1"/>
    <xf numFmtId="0" fontId="0" fillId="8" borderId="5" xfId="0" applyFill="1" applyBorder="1" applyAlignment="1">
      <alignment horizontal="left"/>
    </xf>
    <xf numFmtId="0" fontId="0" fillId="8" borderId="44" xfId="0" applyFill="1" applyBorder="1"/>
    <xf numFmtId="0" fontId="0" fillId="0" borderId="46" xfId="0" applyBorder="1"/>
    <xf numFmtId="0" fontId="0" fillId="0" borderId="47" xfId="0" applyBorder="1"/>
    <xf numFmtId="0" fontId="0" fillId="0" borderId="23" xfId="0" applyBorder="1"/>
    <xf numFmtId="0" fontId="0" fillId="0" borderId="17" xfId="0" applyFill="1" applyBorder="1"/>
    <xf numFmtId="0" fontId="0" fillId="9" borderId="29" xfId="0" applyFill="1" applyBorder="1"/>
    <xf numFmtId="0" fontId="0" fillId="0" borderId="0" xfId="0"/>
    <xf numFmtId="0" fontId="0" fillId="0" borderId="0" xfId="0"/>
    <xf numFmtId="0" fontId="0" fillId="5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0" xfId="0" applyFont="1" applyFill="1" applyBorder="1" applyAlignment="1">
      <alignment horizontal="center"/>
    </xf>
    <xf numFmtId="0" fontId="2" fillId="8" borderId="35" xfId="0" applyFont="1" applyFill="1" applyBorder="1" applyAlignment="1">
      <alignment horizontal="center"/>
    </xf>
    <xf numFmtId="0" fontId="0" fillId="9" borderId="1" xfId="0" applyFill="1" applyBorder="1"/>
    <xf numFmtId="0" fontId="0" fillId="0" borderId="0" xfId="0"/>
    <xf numFmtId="0" fontId="0" fillId="13" borderId="1" xfId="0" applyFill="1" applyBorder="1"/>
    <xf numFmtId="0" fontId="0" fillId="0" borderId="0" xfId="0"/>
    <xf numFmtId="0" fontId="0" fillId="0" borderId="0" xfId="0"/>
    <xf numFmtId="0" fontId="0" fillId="5" borderId="1" xfId="0" applyFill="1" applyBorder="1"/>
    <xf numFmtId="0" fontId="0" fillId="9" borderId="11" xfId="0" applyFill="1" applyBorder="1"/>
    <xf numFmtId="0" fontId="0" fillId="9" borderId="49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2" borderId="29" xfId="0" applyFill="1" applyBorder="1" applyAlignment="1"/>
    <xf numFmtId="0" fontId="0" fillId="0" borderId="0" xfId="0"/>
    <xf numFmtId="0" fontId="0" fillId="0" borderId="4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0" xfId="0"/>
    <xf numFmtId="0" fontId="0" fillId="2" borderId="11" xfId="0" applyFill="1" applyBorder="1"/>
    <xf numFmtId="0" fontId="2" fillId="7" borderId="48" xfId="0" applyFont="1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0" fontId="7" fillId="12" borderId="3" xfId="0" applyFont="1" applyFill="1" applyBorder="1"/>
    <xf numFmtId="0" fontId="7" fillId="12" borderId="0" xfId="0" applyFont="1" applyFill="1" applyBorder="1"/>
    <xf numFmtId="0" fontId="7" fillId="12" borderId="34" xfId="0" applyFont="1" applyFill="1" applyBorder="1"/>
    <xf numFmtId="0" fontId="0" fillId="0" borderId="18" xfId="0" applyBorder="1"/>
    <xf numFmtId="0" fontId="0" fillId="13" borderId="18" xfId="0" applyFill="1" applyBorder="1"/>
    <xf numFmtId="0" fontId="0" fillId="0" borderId="18" xfId="0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2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3" fillId="10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activeCell="D11" sqref="D11"/>
    </sheetView>
  </sheetViews>
  <sheetFormatPr baseColWidth="10" defaultRowHeight="15" x14ac:dyDescent="0.25"/>
  <cols>
    <col min="1" max="1" width="69.85546875" customWidth="1"/>
  </cols>
  <sheetData>
    <row r="1" spans="1:5" s="102" customFormat="1" ht="18.75" x14ac:dyDescent="0.3">
      <c r="A1" s="103" t="s">
        <v>553</v>
      </c>
      <c r="B1" s="104"/>
    </row>
    <row r="2" spans="1:5" s="102" customFormat="1" ht="18.75" x14ac:dyDescent="0.3">
      <c r="A2" s="105" t="s">
        <v>554</v>
      </c>
      <c r="B2" s="106"/>
    </row>
    <row r="3" spans="1:5" s="102" customFormat="1" ht="18.75" x14ac:dyDescent="0.3">
      <c r="A3" s="105" t="s">
        <v>747</v>
      </c>
      <c r="B3" s="106"/>
    </row>
    <row r="4" spans="1:5" s="102" customFormat="1" ht="13.5" customHeight="1" thickBot="1" x14ac:dyDescent="0.35">
      <c r="A4" s="107"/>
      <c r="B4" s="108" t="s">
        <v>555</v>
      </c>
    </row>
    <row r="5" spans="1:5" s="102" customFormat="1" x14ac:dyDescent="0.25"/>
    <row r="6" spans="1:5" ht="15.75" x14ac:dyDescent="0.25">
      <c r="A6" s="193" t="s">
        <v>46</v>
      </c>
      <c r="B6" s="194"/>
    </row>
    <row r="8" spans="1:5" x14ac:dyDescent="0.25">
      <c r="A8" s="85" t="s">
        <v>35</v>
      </c>
      <c r="B8" s="86" t="s">
        <v>31</v>
      </c>
    </row>
    <row r="9" spans="1:5" s="16" customFormat="1" x14ac:dyDescent="0.25">
      <c r="A9" s="87" t="s">
        <v>506</v>
      </c>
      <c r="B9" s="88">
        <v>2</v>
      </c>
    </row>
    <row r="10" spans="1:5" x14ac:dyDescent="0.25">
      <c r="A10" s="87" t="s">
        <v>520</v>
      </c>
      <c r="B10" s="88">
        <v>1</v>
      </c>
    </row>
    <row r="11" spans="1:5" s="100" customFormat="1" x14ac:dyDescent="0.25">
      <c r="A11" s="87" t="s">
        <v>523</v>
      </c>
      <c r="B11" s="88">
        <v>1</v>
      </c>
      <c r="E11" s="100" t="s">
        <v>68</v>
      </c>
    </row>
    <row r="13" spans="1:5" x14ac:dyDescent="0.25">
      <c r="A13" s="85" t="s">
        <v>32</v>
      </c>
      <c r="B13" s="86" t="s">
        <v>31</v>
      </c>
    </row>
    <row r="14" spans="1:5" x14ac:dyDescent="0.25">
      <c r="A14" s="87" t="s">
        <v>484</v>
      </c>
      <c r="B14" s="88">
        <v>1</v>
      </c>
    </row>
    <row r="15" spans="1:5" s="89" customFormat="1" x14ac:dyDescent="0.25">
      <c r="A15" s="87" t="s">
        <v>509</v>
      </c>
      <c r="B15" s="88">
        <v>1</v>
      </c>
    </row>
    <row r="16" spans="1:5" x14ac:dyDescent="0.25">
      <c r="A16" s="87" t="s">
        <v>485</v>
      </c>
      <c r="B16" s="88">
        <v>1</v>
      </c>
    </row>
    <row r="17" spans="1:2" x14ac:dyDescent="0.25">
      <c r="A17" s="87" t="s">
        <v>713</v>
      </c>
      <c r="B17" s="88">
        <v>1</v>
      </c>
    </row>
    <row r="18" spans="1:2" s="99" customFormat="1" x14ac:dyDescent="0.25">
      <c r="A18" s="87" t="s">
        <v>521</v>
      </c>
      <c r="B18" s="88">
        <v>1</v>
      </c>
    </row>
    <row r="19" spans="1:2" x14ac:dyDescent="0.25">
      <c r="A19" s="87" t="s">
        <v>486</v>
      </c>
      <c r="B19" s="88">
        <v>1</v>
      </c>
    </row>
    <row r="20" spans="1:2" x14ac:dyDescent="0.25">
      <c r="A20" s="87" t="s">
        <v>487</v>
      </c>
      <c r="B20" s="88">
        <v>6</v>
      </c>
    </row>
    <row r="21" spans="1:2" x14ac:dyDescent="0.25">
      <c r="A21" s="87" t="s">
        <v>488</v>
      </c>
      <c r="B21" s="88">
        <v>4</v>
      </c>
    </row>
    <row r="22" spans="1:2" x14ac:dyDescent="0.25">
      <c r="A22" s="87" t="s">
        <v>489</v>
      </c>
      <c r="B22" s="88">
        <v>5</v>
      </c>
    </row>
    <row r="23" spans="1:2" x14ac:dyDescent="0.25">
      <c r="A23" s="87" t="s">
        <v>519</v>
      </c>
      <c r="B23" s="88">
        <v>3</v>
      </c>
    </row>
    <row r="24" spans="1:2" x14ac:dyDescent="0.25">
      <c r="A24" s="87" t="s">
        <v>491</v>
      </c>
      <c r="B24" s="88">
        <v>2</v>
      </c>
    </row>
    <row r="25" spans="1:2" x14ac:dyDescent="0.25">
      <c r="A25" s="87" t="s">
        <v>492</v>
      </c>
      <c r="B25" s="88">
        <v>2</v>
      </c>
    </row>
    <row r="26" spans="1:2" s="89" customFormat="1" x14ac:dyDescent="0.25">
      <c r="A26" s="87" t="s">
        <v>498</v>
      </c>
      <c r="B26" s="88">
        <v>6</v>
      </c>
    </row>
    <row r="27" spans="1:2" s="89" customFormat="1" x14ac:dyDescent="0.25">
      <c r="A27" s="87" t="s">
        <v>510</v>
      </c>
      <c r="B27" s="88">
        <v>6</v>
      </c>
    </row>
    <row r="28" spans="1:2" s="89" customFormat="1" x14ac:dyDescent="0.25">
      <c r="A28" s="91"/>
      <c r="B28" s="92"/>
    </row>
    <row r="29" spans="1:2" x14ac:dyDescent="0.25">
      <c r="A29" s="85" t="s">
        <v>33</v>
      </c>
      <c r="B29" s="86" t="s">
        <v>31</v>
      </c>
    </row>
    <row r="30" spans="1:2" s="16" customFormat="1" x14ac:dyDescent="0.25">
      <c r="A30" s="87" t="s">
        <v>508</v>
      </c>
      <c r="B30" s="88">
        <v>1</v>
      </c>
    </row>
    <row r="31" spans="1:2" x14ac:dyDescent="0.25">
      <c r="A31" s="87" t="s">
        <v>486</v>
      </c>
      <c r="B31" s="88">
        <v>1</v>
      </c>
    </row>
    <row r="32" spans="1:2" x14ac:dyDescent="0.25">
      <c r="A32" s="87" t="s">
        <v>515</v>
      </c>
      <c r="B32" s="88">
        <v>1</v>
      </c>
    </row>
    <row r="33" spans="1:2" s="89" customFormat="1" x14ac:dyDescent="0.25">
      <c r="A33" s="87" t="s">
        <v>494</v>
      </c>
      <c r="B33" s="88">
        <v>1</v>
      </c>
    </row>
    <row r="35" spans="1:2" x14ac:dyDescent="0.25">
      <c r="A35" s="85" t="s">
        <v>34</v>
      </c>
      <c r="B35" s="86" t="s">
        <v>31</v>
      </c>
    </row>
    <row r="36" spans="1:2" s="16" customFormat="1" x14ac:dyDescent="0.25">
      <c r="A36" s="87" t="s">
        <v>511</v>
      </c>
      <c r="B36" s="88">
        <v>1</v>
      </c>
    </row>
    <row r="37" spans="1:2" x14ac:dyDescent="0.25">
      <c r="A37" s="87" t="s">
        <v>486</v>
      </c>
      <c r="B37" s="88">
        <v>1</v>
      </c>
    </row>
    <row r="38" spans="1:2" x14ac:dyDescent="0.25">
      <c r="A38" s="87" t="s">
        <v>487</v>
      </c>
      <c r="B38" s="88">
        <v>5</v>
      </c>
    </row>
    <row r="39" spans="1:2" x14ac:dyDescent="0.25">
      <c r="A39" s="87" t="s">
        <v>488</v>
      </c>
      <c r="B39" s="88">
        <v>3</v>
      </c>
    </row>
    <row r="40" spans="1:2" x14ac:dyDescent="0.25">
      <c r="A40" s="87" t="s">
        <v>489</v>
      </c>
      <c r="B40" s="88">
        <v>5</v>
      </c>
    </row>
    <row r="41" spans="1:2" x14ac:dyDescent="0.25">
      <c r="A41" s="87" t="s">
        <v>519</v>
      </c>
      <c r="B41" s="88">
        <v>3</v>
      </c>
    </row>
    <row r="42" spans="1:2" x14ac:dyDescent="0.25">
      <c r="A42" s="87" t="s">
        <v>493</v>
      </c>
      <c r="B42" s="88">
        <v>1</v>
      </c>
    </row>
    <row r="43" spans="1:2" x14ac:dyDescent="0.25">
      <c r="A43" s="87" t="s">
        <v>494</v>
      </c>
      <c r="B43" s="88">
        <v>1</v>
      </c>
    </row>
    <row r="44" spans="1:2" s="89" customFormat="1" x14ac:dyDescent="0.25">
      <c r="A44" s="87" t="s">
        <v>498</v>
      </c>
      <c r="B44" s="88">
        <v>6</v>
      </c>
    </row>
    <row r="46" spans="1:2" x14ac:dyDescent="0.25">
      <c r="A46" s="85" t="s">
        <v>36</v>
      </c>
      <c r="B46" s="86" t="s">
        <v>31</v>
      </c>
    </row>
    <row r="47" spans="1:2" s="16" customFormat="1" x14ac:dyDescent="0.25">
      <c r="A47" s="87" t="s">
        <v>512</v>
      </c>
      <c r="B47" s="88"/>
    </row>
    <row r="48" spans="1:2" s="16" customFormat="1" x14ac:dyDescent="0.25">
      <c r="A48" s="87" t="s">
        <v>509</v>
      </c>
      <c r="B48" s="88">
        <v>1</v>
      </c>
    </row>
    <row r="49" spans="1:2" x14ac:dyDescent="0.25">
      <c r="A49" s="87" t="s">
        <v>496</v>
      </c>
      <c r="B49" s="88">
        <v>1</v>
      </c>
    </row>
    <row r="50" spans="1:2" s="167" customFormat="1" x14ac:dyDescent="0.25">
      <c r="A50" s="87" t="s">
        <v>495</v>
      </c>
      <c r="B50" s="88">
        <v>1</v>
      </c>
    </row>
    <row r="51" spans="1:2" x14ac:dyDescent="0.25">
      <c r="A51" s="87" t="s">
        <v>490</v>
      </c>
      <c r="B51" s="88">
        <v>2</v>
      </c>
    </row>
    <row r="52" spans="1:2" x14ac:dyDescent="0.25">
      <c r="A52" s="87" t="s">
        <v>487</v>
      </c>
      <c r="B52" s="88">
        <v>1</v>
      </c>
    </row>
    <row r="53" spans="1:2" x14ac:dyDescent="0.25">
      <c r="A53" s="87" t="s">
        <v>488</v>
      </c>
      <c r="B53" s="88">
        <v>1</v>
      </c>
    </row>
    <row r="54" spans="1:2" x14ac:dyDescent="0.25">
      <c r="A54" s="87" t="s">
        <v>489</v>
      </c>
      <c r="B54" s="88">
        <v>2</v>
      </c>
    </row>
    <row r="55" spans="1:2" x14ac:dyDescent="0.25">
      <c r="A55" s="87" t="s">
        <v>493</v>
      </c>
      <c r="B55" s="88">
        <v>1</v>
      </c>
    </row>
    <row r="56" spans="1:2" x14ac:dyDescent="0.25">
      <c r="A56" s="87" t="s">
        <v>494</v>
      </c>
      <c r="B56" s="88">
        <v>1</v>
      </c>
    </row>
    <row r="58" spans="1:2" x14ac:dyDescent="0.25">
      <c r="A58" s="85" t="s">
        <v>37</v>
      </c>
      <c r="B58" s="86" t="s">
        <v>31</v>
      </c>
    </row>
    <row r="59" spans="1:2" x14ac:dyDescent="0.25">
      <c r="A59" s="87" t="s">
        <v>514</v>
      </c>
      <c r="B59" s="88">
        <v>1</v>
      </c>
    </row>
    <row r="60" spans="1:2" x14ac:dyDescent="0.25">
      <c r="A60" s="87" t="s">
        <v>495</v>
      </c>
      <c r="B60" s="88">
        <v>1</v>
      </c>
    </row>
    <row r="61" spans="1:2" x14ac:dyDescent="0.25">
      <c r="A61" s="87" t="s">
        <v>490</v>
      </c>
      <c r="B61" s="88">
        <v>1</v>
      </c>
    </row>
    <row r="62" spans="1:2" x14ac:dyDescent="0.25">
      <c r="A62" s="87" t="s">
        <v>487</v>
      </c>
      <c r="B62" s="88">
        <v>1</v>
      </c>
    </row>
    <row r="63" spans="1:2" s="167" customFormat="1" x14ac:dyDescent="0.25">
      <c r="A63" s="87" t="s">
        <v>488</v>
      </c>
      <c r="B63" s="88">
        <v>2</v>
      </c>
    </row>
    <row r="64" spans="1:2" s="89" customFormat="1" x14ac:dyDescent="0.25">
      <c r="A64" s="87" t="s">
        <v>714</v>
      </c>
      <c r="B64" s="88">
        <v>1</v>
      </c>
    </row>
    <row r="65" spans="1:2" x14ac:dyDescent="0.25">
      <c r="A65" s="87" t="s">
        <v>489</v>
      </c>
      <c r="B65" s="88">
        <v>1</v>
      </c>
    </row>
    <row r="66" spans="1:2" s="98" customFormat="1" x14ac:dyDescent="0.25">
      <c r="A66" s="87" t="s">
        <v>493</v>
      </c>
      <c r="B66" s="88">
        <v>1</v>
      </c>
    </row>
    <row r="67" spans="1:2" s="98" customFormat="1" x14ac:dyDescent="0.25">
      <c r="A67" s="87" t="s">
        <v>494</v>
      </c>
      <c r="B67" s="88">
        <v>1</v>
      </c>
    </row>
    <row r="69" spans="1:2" x14ac:dyDescent="0.25">
      <c r="A69" s="85" t="s">
        <v>38</v>
      </c>
      <c r="B69" s="86" t="s">
        <v>31</v>
      </c>
    </row>
    <row r="70" spans="1:2" x14ac:dyDescent="0.25">
      <c r="A70" s="87" t="s">
        <v>512</v>
      </c>
      <c r="B70" s="88"/>
    </row>
    <row r="71" spans="1:2" x14ac:dyDescent="0.25">
      <c r="A71" s="87" t="s">
        <v>522</v>
      </c>
      <c r="B71" s="88">
        <v>1</v>
      </c>
    </row>
    <row r="72" spans="1:2" x14ac:dyDescent="0.25">
      <c r="A72" s="87" t="s">
        <v>490</v>
      </c>
      <c r="B72" s="88">
        <v>1</v>
      </c>
    </row>
    <row r="73" spans="1:2" x14ac:dyDescent="0.25">
      <c r="A73" s="87" t="s">
        <v>487</v>
      </c>
      <c r="B73" s="88">
        <v>3</v>
      </c>
    </row>
    <row r="74" spans="1:2" x14ac:dyDescent="0.25">
      <c r="A74" s="87" t="s">
        <v>715</v>
      </c>
      <c r="B74" s="88">
        <v>1</v>
      </c>
    </row>
    <row r="75" spans="1:2" x14ac:dyDescent="0.25">
      <c r="A75" s="87" t="s">
        <v>489</v>
      </c>
      <c r="B75" s="88">
        <v>2</v>
      </c>
    </row>
    <row r="76" spans="1:2" x14ac:dyDescent="0.25">
      <c r="A76" s="87" t="s">
        <v>497</v>
      </c>
      <c r="B76" s="88">
        <v>2</v>
      </c>
    </row>
    <row r="77" spans="1:2" s="98" customFormat="1" x14ac:dyDescent="0.25">
      <c r="A77" s="87" t="s">
        <v>493</v>
      </c>
      <c r="B77" s="88">
        <v>1</v>
      </c>
    </row>
    <row r="78" spans="1:2" s="98" customFormat="1" x14ac:dyDescent="0.25">
      <c r="A78" s="87" t="s">
        <v>494</v>
      </c>
      <c r="B78" s="88">
        <v>1</v>
      </c>
    </row>
    <row r="80" spans="1:2" x14ac:dyDescent="0.25">
      <c r="A80" s="85" t="s">
        <v>513</v>
      </c>
      <c r="B80" s="86" t="s">
        <v>31</v>
      </c>
    </row>
    <row r="81" spans="1:2" x14ac:dyDescent="0.25">
      <c r="A81" s="87" t="s">
        <v>505</v>
      </c>
      <c r="B81" s="88">
        <v>2</v>
      </c>
    </row>
    <row r="82" spans="1:2" x14ac:dyDescent="0.25">
      <c r="A82" s="87" t="s">
        <v>507</v>
      </c>
      <c r="B82" s="88">
        <v>100</v>
      </c>
    </row>
    <row r="83" spans="1:2" x14ac:dyDescent="0.25">
      <c r="A83" s="87" t="s">
        <v>499</v>
      </c>
      <c r="B83" s="88">
        <v>100</v>
      </c>
    </row>
    <row r="84" spans="1:2" x14ac:dyDescent="0.25">
      <c r="A84" s="87" t="s">
        <v>500</v>
      </c>
      <c r="B84" s="88">
        <v>100</v>
      </c>
    </row>
    <row r="85" spans="1:2" x14ac:dyDescent="0.25">
      <c r="A85" s="87" t="s">
        <v>501</v>
      </c>
      <c r="B85" s="88">
        <v>100</v>
      </c>
    </row>
    <row r="86" spans="1:2" x14ac:dyDescent="0.25">
      <c r="A86" s="87" t="s">
        <v>502</v>
      </c>
      <c r="B86" s="88">
        <v>2</v>
      </c>
    </row>
    <row r="87" spans="1:2" x14ac:dyDescent="0.25">
      <c r="A87" s="87" t="s">
        <v>503</v>
      </c>
      <c r="B87" s="88">
        <v>10</v>
      </c>
    </row>
    <row r="88" spans="1:2" x14ac:dyDescent="0.25">
      <c r="A88" s="87" t="s">
        <v>504</v>
      </c>
      <c r="B88" s="88">
        <v>1</v>
      </c>
    </row>
  </sheetData>
  <mergeCells count="1">
    <mergeCell ref="A6:B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zoomScale="85" zoomScaleNormal="85" workbookViewId="0">
      <selection activeCell="D14" sqref="D14"/>
    </sheetView>
  </sheetViews>
  <sheetFormatPr baseColWidth="10" defaultRowHeight="15" x14ac:dyDescent="0.25"/>
  <cols>
    <col min="1" max="1" width="11.5703125" style="3"/>
    <col min="2" max="2" width="31.85546875" customWidth="1"/>
    <col min="3" max="3" width="12.85546875" customWidth="1"/>
    <col min="4" max="4" width="20.5703125" style="102" customWidth="1"/>
    <col min="5" max="5" width="42.5703125" customWidth="1"/>
  </cols>
  <sheetData>
    <row r="1" spans="1:5" s="102" customFormat="1" ht="18.75" x14ac:dyDescent="0.3">
      <c r="A1" s="103" t="s">
        <v>553</v>
      </c>
      <c r="B1" s="109"/>
      <c r="C1" s="109"/>
      <c r="D1" s="109"/>
      <c r="E1" s="104"/>
    </row>
    <row r="2" spans="1:5" s="102" customFormat="1" ht="18.75" x14ac:dyDescent="0.3">
      <c r="A2" s="105" t="s">
        <v>554</v>
      </c>
      <c r="B2" s="110"/>
      <c r="C2" s="110"/>
      <c r="D2" s="110"/>
      <c r="E2" s="106"/>
    </row>
    <row r="3" spans="1:5" s="102" customFormat="1" ht="18.75" x14ac:dyDescent="0.3">
      <c r="A3" s="105" t="s">
        <v>557</v>
      </c>
      <c r="B3" s="110"/>
      <c r="C3" s="110"/>
      <c r="D3" s="110"/>
      <c r="E3" s="106"/>
    </row>
    <row r="4" spans="1:5" s="102" customFormat="1" ht="19.5" thickBot="1" x14ac:dyDescent="0.35">
      <c r="A4" s="107"/>
      <c r="B4" s="111"/>
      <c r="C4" s="111"/>
      <c r="D4" s="111"/>
      <c r="E4" s="108" t="s">
        <v>556</v>
      </c>
    </row>
    <row r="5" spans="1:5" s="16" customFormat="1" ht="18.75" x14ac:dyDescent="0.3">
      <c r="A5" s="112"/>
      <c r="B5" s="113"/>
      <c r="C5" s="113"/>
      <c r="D5" s="113"/>
      <c r="E5" s="114"/>
    </row>
    <row r="6" spans="1:5" ht="15.75" x14ac:dyDescent="0.25">
      <c r="A6" s="13"/>
      <c r="B6" s="14" t="s">
        <v>66</v>
      </c>
      <c r="C6" s="14"/>
      <c r="D6" s="14"/>
      <c r="E6" s="14"/>
    </row>
    <row r="8" spans="1:5" x14ac:dyDescent="0.25">
      <c r="B8" t="s">
        <v>8</v>
      </c>
    </row>
    <row r="9" spans="1:5" ht="15.75" x14ac:dyDescent="0.25">
      <c r="A9" s="14"/>
      <c r="B9" s="14" t="s">
        <v>46</v>
      </c>
      <c r="C9" s="14"/>
      <c r="D9" s="14"/>
      <c r="E9" s="14"/>
    </row>
    <row r="10" spans="1:5" x14ac:dyDescent="0.25">
      <c r="A10" s="4" t="s">
        <v>41</v>
      </c>
      <c r="B10" s="5" t="s">
        <v>4</v>
      </c>
    </row>
    <row r="11" spans="1:5" x14ac:dyDescent="0.25">
      <c r="A11" s="2" t="s">
        <v>14</v>
      </c>
      <c r="B11" s="1" t="s">
        <v>1</v>
      </c>
    </row>
    <row r="12" spans="1:5" x14ac:dyDescent="0.25">
      <c r="A12" s="2" t="s">
        <v>21</v>
      </c>
      <c r="B12" s="1" t="s">
        <v>20</v>
      </c>
    </row>
    <row r="13" spans="1:5" x14ac:dyDescent="0.25">
      <c r="A13" s="2" t="s">
        <v>5</v>
      </c>
      <c r="B13" s="1" t="s">
        <v>6</v>
      </c>
    </row>
    <row r="14" spans="1:5" x14ac:dyDescent="0.25">
      <c r="A14" s="2" t="s">
        <v>22</v>
      </c>
      <c r="B14" s="1" t="s">
        <v>15</v>
      </c>
    </row>
    <row r="15" spans="1:5" x14ac:dyDescent="0.25">
      <c r="A15" s="2" t="s">
        <v>23</v>
      </c>
      <c r="B15" s="1" t="s">
        <v>16</v>
      </c>
    </row>
    <row r="16" spans="1:5" x14ac:dyDescent="0.25">
      <c r="A16" s="2" t="s">
        <v>24</v>
      </c>
      <c r="B16" s="1" t="s">
        <v>17</v>
      </c>
    </row>
    <row r="17" spans="1:5" x14ac:dyDescent="0.25">
      <c r="A17" s="2" t="s">
        <v>25</v>
      </c>
      <c r="B17" s="1" t="s">
        <v>18</v>
      </c>
    </row>
    <row r="18" spans="1:5" x14ac:dyDescent="0.25">
      <c r="A18" s="2" t="s">
        <v>26</v>
      </c>
      <c r="B18" s="1" t="s">
        <v>19</v>
      </c>
    </row>
    <row r="20" spans="1:5" ht="15.75" x14ac:dyDescent="0.25">
      <c r="A20" s="14"/>
      <c r="B20" s="14" t="s">
        <v>7</v>
      </c>
      <c r="C20" s="14"/>
      <c r="D20" s="14"/>
      <c r="E20" s="14"/>
    </row>
    <row r="21" spans="1:5" x14ac:dyDescent="0.25">
      <c r="A21" s="4" t="s">
        <v>40</v>
      </c>
      <c r="B21" s="5" t="s">
        <v>4</v>
      </c>
      <c r="C21" s="5" t="s">
        <v>3</v>
      </c>
      <c r="D21" s="5" t="s">
        <v>558</v>
      </c>
      <c r="E21" s="5" t="s">
        <v>45</v>
      </c>
    </row>
    <row r="22" spans="1:5" x14ac:dyDescent="0.25">
      <c r="A22" s="2">
        <v>1</v>
      </c>
      <c r="B22" s="1" t="s">
        <v>1</v>
      </c>
      <c r="C22" s="2">
        <v>37</v>
      </c>
      <c r="D22" s="2" t="s">
        <v>559</v>
      </c>
      <c r="E22" s="1" t="s">
        <v>565</v>
      </c>
    </row>
    <row r="23" spans="1:5" x14ac:dyDescent="0.25">
      <c r="A23" s="2">
        <v>2</v>
      </c>
      <c r="B23" s="1" t="s">
        <v>9</v>
      </c>
      <c r="C23" s="2">
        <v>25</v>
      </c>
      <c r="D23" s="2" t="s">
        <v>560</v>
      </c>
      <c r="E23" s="1" t="s">
        <v>565</v>
      </c>
    </row>
    <row r="24" spans="1:5" x14ac:dyDescent="0.25">
      <c r="A24" s="2">
        <v>3</v>
      </c>
      <c r="B24" s="1" t="s">
        <v>10</v>
      </c>
      <c r="C24" s="2">
        <v>12</v>
      </c>
      <c r="D24" s="2" t="s">
        <v>563</v>
      </c>
      <c r="E24" s="1" t="s">
        <v>566</v>
      </c>
    </row>
    <row r="25" spans="1:5" x14ac:dyDescent="0.25">
      <c r="A25" s="2">
        <v>4</v>
      </c>
      <c r="B25" s="1" t="s">
        <v>11</v>
      </c>
      <c r="C25" s="2">
        <v>18</v>
      </c>
      <c r="D25" s="2" t="s">
        <v>561</v>
      </c>
      <c r="E25" s="1" t="s">
        <v>565</v>
      </c>
    </row>
    <row r="26" spans="1:5" x14ac:dyDescent="0.25">
      <c r="A26" s="2">
        <v>5</v>
      </c>
      <c r="B26" s="1" t="s">
        <v>12</v>
      </c>
      <c r="C26" s="2">
        <v>24</v>
      </c>
      <c r="D26" s="2" t="s">
        <v>562</v>
      </c>
      <c r="E26" s="1" t="s">
        <v>565</v>
      </c>
    </row>
    <row r="27" spans="1:5" x14ac:dyDescent="0.25">
      <c r="A27" s="2">
        <v>6</v>
      </c>
      <c r="B27" s="1" t="s">
        <v>13</v>
      </c>
      <c r="C27" s="2">
        <v>40</v>
      </c>
      <c r="D27" s="2" t="s">
        <v>564</v>
      </c>
      <c r="E27" s="1" t="s">
        <v>565</v>
      </c>
    </row>
    <row r="29" spans="1:5" ht="15.75" x14ac:dyDescent="0.25">
      <c r="A29" s="14"/>
      <c r="B29" s="14" t="s">
        <v>27</v>
      </c>
      <c r="C29" s="14"/>
      <c r="D29" s="14"/>
      <c r="E29" s="14"/>
    </row>
    <row r="30" spans="1:5" x14ac:dyDescent="0.25">
      <c r="A30" s="4" t="s">
        <v>40</v>
      </c>
      <c r="B30" s="5" t="s">
        <v>4</v>
      </c>
      <c r="C30" s="5" t="s">
        <v>3</v>
      </c>
      <c r="D30" s="5"/>
      <c r="E30" s="5" t="s">
        <v>2</v>
      </c>
    </row>
    <row r="31" spans="1:5" x14ac:dyDescent="0.25">
      <c r="A31" s="2">
        <v>1</v>
      </c>
      <c r="B31" s="1" t="s">
        <v>39</v>
      </c>
      <c r="C31" s="2">
        <v>5</v>
      </c>
      <c r="D31" s="2" t="s">
        <v>568</v>
      </c>
      <c r="E31" s="1" t="s">
        <v>567</v>
      </c>
    </row>
    <row r="32" spans="1:5" x14ac:dyDescent="0.25">
      <c r="A32" s="2">
        <v>2</v>
      </c>
      <c r="B32" s="1" t="s">
        <v>39</v>
      </c>
      <c r="C32" s="2">
        <v>15</v>
      </c>
      <c r="D32" s="2" t="s">
        <v>568</v>
      </c>
      <c r="E32" s="1" t="s">
        <v>567</v>
      </c>
    </row>
    <row r="33" spans="1:5" x14ac:dyDescent="0.25">
      <c r="A33" s="2">
        <v>3</v>
      </c>
      <c r="B33" s="1" t="s">
        <v>39</v>
      </c>
      <c r="C33" s="2">
        <v>5</v>
      </c>
      <c r="D33" s="2" t="s">
        <v>568</v>
      </c>
      <c r="E33" s="1" t="s">
        <v>567</v>
      </c>
    </row>
    <row r="34" spans="1:5" x14ac:dyDescent="0.25">
      <c r="A34" s="2">
        <v>4</v>
      </c>
      <c r="B34" s="1" t="s">
        <v>39</v>
      </c>
      <c r="C34" s="2">
        <v>5</v>
      </c>
      <c r="D34" s="2" t="s">
        <v>568</v>
      </c>
      <c r="E34" s="1" t="s">
        <v>567</v>
      </c>
    </row>
    <row r="35" spans="1:5" x14ac:dyDescent="0.25">
      <c r="A35" s="2">
        <v>5</v>
      </c>
      <c r="B35" s="1" t="s">
        <v>39</v>
      </c>
      <c r="C35" s="2">
        <v>5</v>
      </c>
      <c r="D35" s="2" t="s">
        <v>568</v>
      </c>
      <c r="E35" s="1" t="s">
        <v>567</v>
      </c>
    </row>
    <row r="36" spans="1:5" x14ac:dyDescent="0.25">
      <c r="A36" s="2">
        <v>6</v>
      </c>
      <c r="B36" s="1" t="s">
        <v>39</v>
      </c>
      <c r="C36" s="2">
        <v>6</v>
      </c>
      <c r="D36" s="2" t="s">
        <v>568</v>
      </c>
      <c r="E36" s="1" t="s">
        <v>567</v>
      </c>
    </row>
    <row r="37" spans="1:5" x14ac:dyDescent="0.25">
      <c r="A37" s="2">
        <v>7</v>
      </c>
      <c r="B37" s="1" t="s">
        <v>42</v>
      </c>
      <c r="C37" s="2">
        <v>80</v>
      </c>
      <c r="D37" s="2" t="s">
        <v>569</v>
      </c>
      <c r="E37" s="1" t="s">
        <v>43</v>
      </c>
    </row>
    <row r="39" spans="1:5" x14ac:dyDescent="0.25">
      <c r="B39" s="16"/>
      <c r="C39" s="3"/>
      <c r="D39" s="3"/>
    </row>
    <row r="40" spans="1:5" x14ac:dyDescent="0.25">
      <c r="B40" s="16"/>
      <c r="C40" s="3"/>
      <c r="D40" s="3"/>
      <c r="E40" t="s">
        <v>68</v>
      </c>
    </row>
    <row r="41" spans="1:5" x14ac:dyDescent="0.25">
      <c r="B41" s="16"/>
      <c r="C41" s="3"/>
      <c r="D41" s="3"/>
    </row>
    <row r="42" spans="1:5" x14ac:dyDescent="0.25">
      <c r="B42" s="16"/>
      <c r="C42" s="3"/>
      <c r="D42" s="3"/>
    </row>
    <row r="43" spans="1:5" x14ac:dyDescent="0.25">
      <c r="B43" s="16"/>
      <c r="C43" s="3"/>
      <c r="D43" s="3"/>
    </row>
    <row r="44" spans="1:5" x14ac:dyDescent="0.25">
      <c r="B44" s="16"/>
      <c r="C44" s="3"/>
      <c r="D44" s="3"/>
    </row>
    <row r="45" spans="1:5" x14ac:dyDescent="0.25">
      <c r="B45" s="16"/>
      <c r="C45" s="3"/>
      <c r="D45" s="3"/>
    </row>
    <row r="46" spans="1:5" x14ac:dyDescent="0.25">
      <c r="B46" s="16"/>
      <c r="C46" s="3"/>
      <c r="D46" s="3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zoomScaleNormal="100" workbookViewId="0">
      <selection activeCell="A4" sqref="A4"/>
    </sheetView>
  </sheetViews>
  <sheetFormatPr baseColWidth="10" defaultRowHeight="15" x14ac:dyDescent="0.25"/>
  <cols>
    <col min="1" max="1" width="13.28515625" customWidth="1"/>
    <col min="2" max="2" width="19.5703125" customWidth="1"/>
    <col min="3" max="3" width="9.85546875" customWidth="1"/>
    <col min="4" max="4" width="18.5703125" customWidth="1"/>
    <col min="5" max="5" width="14.28515625" customWidth="1"/>
    <col min="6" max="6" width="35.28515625" customWidth="1"/>
    <col min="7" max="7" width="13.5703125" customWidth="1"/>
    <col min="8" max="8" width="14.28515625" customWidth="1"/>
    <col min="9" max="9" width="11.5703125" style="102" customWidth="1"/>
    <col min="10" max="10" width="12.140625" customWidth="1"/>
    <col min="11" max="11" width="14.5703125" style="102" customWidth="1"/>
    <col min="12" max="12" width="13.85546875" style="102" customWidth="1"/>
    <col min="13" max="13" width="13.85546875" customWidth="1"/>
    <col min="16" max="16" width="14.42578125" customWidth="1"/>
    <col min="17" max="18" width="17.28515625" customWidth="1"/>
  </cols>
  <sheetData>
    <row r="1" spans="1:24" ht="18.75" x14ac:dyDescent="0.3">
      <c r="A1" s="103" t="s">
        <v>553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4"/>
      <c r="U1" s="102"/>
      <c r="W1" s="102"/>
      <c r="X1" s="102"/>
    </row>
    <row r="2" spans="1:24" ht="18.75" x14ac:dyDescent="0.3">
      <c r="A2" s="105" t="s">
        <v>554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06"/>
      <c r="U2" s="102"/>
      <c r="W2" s="102"/>
      <c r="X2" s="102"/>
    </row>
    <row r="3" spans="1:24" s="102" customFormat="1" ht="18.75" x14ac:dyDescent="0.3">
      <c r="A3" s="105" t="s">
        <v>748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06"/>
    </row>
    <row r="4" spans="1:24" s="102" customFormat="1" ht="19.5" thickBot="1" x14ac:dyDescent="0.35">
      <c r="A4" s="107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08" t="s">
        <v>556</v>
      </c>
    </row>
    <row r="5" spans="1:24" ht="15.75" thickBot="1" x14ac:dyDescent="0.3"/>
    <row r="6" spans="1:24" ht="15.75" thickBot="1" x14ac:dyDescent="0.3">
      <c r="B6" s="20"/>
      <c r="C6" s="21" t="s">
        <v>152</v>
      </c>
      <c r="D6" s="21"/>
      <c r="E6" s="21"/>
      <c r="F6" s="22"/>
      <c r="G6" s="156" t="s">
        <v>611</v>
      </c>
      <c r="H6" s="118" t="s">
        <v>133</v>
      </c>
      <c r="I6" s="119"/>
      <c r="J6" s="122"/>
      <c r="K6" s="118" t="s">
        <v>133</v>
      </c>
      <c r="L6" s="119"/>
      <c r="M6" s="120"/>
      <c r="N6" s="39"/>
      <c r="O6" s="40" t="s">
        <v>136</v>
      </c>
      <c r="P6" s="41"/>
      <c r="Q6" s="46" t="s">
        <v>721</v>
      </c>
      <c r="R6" s="46" t="s">
        <v>721</v>
      </c>
    </row>
    <row r="7" spans="1:24" x14ac:dyDescent="0.25">
      <c r="B7" s="23"/>
      <c r="C7" s="1"/>
      <c r="D7" s="1"/>
      <c r="E7" s="1" t="s">
        <v>131</v>
      </c>
      <c r="F7" s="24"/>
      <c r="G7" s="155" t="s">
        <v>608</v>
      </c>
      <c r="H7" s="117" t="s">
        <v>128</v>
      </c>
      <c r="I7" s="117" t="s">
        <v>581</v>
      </c>
      <c r="J7" s="121" t="s">
        <v>605</v>
      </c>
      <c r="K7" s="117" t="s">
        <v>577</v>
      </c>
      <c r="L7" s="113" t="s">
        <v>606</v>
      </c>
      <c r="M7" s="117" t="s">
        <v>607</v>
      </c>
      <c r="N7" s="116" t="s">
        <v>130</v>
      </c>
      <c r="O7" s="6" t="s">
        <v>126</v>
      </c>
      <c r="P7" s="36" t="s">
        <v>127</v>
      </c>
      <c r="Q7" s="48" t="s">
        <v>722</v>
      </c>
      <c r="R7" s="48" t="s">
        <v>723</v>
      </c>
    </row>
    <row r="8" spans="1:24" ht="15.75" thickBot="1" x14ac:dyDescent="0.3">
      <c r="B8" s="61" t="s">
        <v>125</v>
      </c>
      <c r="C8" s="62"/>
      <c r="D8" s="62"/>
      <c r="E8" s="62"/>
      <c r="F8" s="63"/>
      <c r="G8" s="64">
        <v>22</v>
      </c>
      <c r="H8" s="65">
        <v>12</v>
      </c>
      <c r="I8" s="65">
        <v>50</v>
      </c>
      <c r="J8" s="65">
        <v>20</v>
      </c>
      <c r="K8" s="115">
        <v>2</v>
      </c>
      <c r="L8" s="115">
        <v>10</v>
      </c>
      <c r="M8" s="66">
        <v>10</v>
      </c>
      <c r="N8" s="67">
        <v>300</v>
      </c>
      <c r="O8" s="68">
        <v>300</v>
      </c>
      <c r="P8" s="69">
        <v>300</v>
      </c>
      <c r="Q8" s="70">
        <v>10</v>
      </c>
      <c r="R8" s="70">
        <v>12</v>
      </c>
    </row>
    <row r="9" spans="1:24" x14ac:dyDescent="0.25">
      <c r="G9" t="s">
        <v>716</v>
      </c>
      <c r="H9" t="s">
        <v>717</v>
      </c>
      <c r="I9" t="s">
        <v>718</v>
      </c>
      <c r="J9" t="s">
        <v>718</v>
      </c>
      <c r="K9" s="102" t="s">
        <v>717</v>
      </c>
      <c r="L9" s="102" t="s">
        <v>719</v>
      </c>
      <c r="M9" t="s">
        <v>719</v>
      </c>
      <c r="N9" t="s">
        <v>720</v>
      </c>
      <c r="O9" s="167" t="s">
        <v>720</v>
      </c>
      <c r="P9" s="167" t="s">
        <v>720</v>
      </c>
      <c r="Q9" s="167" t="s">
        <v>719</v>
      </c>
      <c r="R9" s="167" t="s">
        <v>719</v>
      </c>
    </row>
    <row r="10" spans="1:24" x14ac:dyDescent="0.25">
      <c r="B10" s="12" t="s">
        <v>586</v>
      </c>
      <c r="C10" s="1"/>
      <c r="D10" s="93">
        <f>COUNTA(D12:D31)</f>
        <v>20</v>
      </c>
      <c r="E10" s="18">
        <f>SUM(E13:E31)</f>
        <v>279</v>
      </c>
      <c r="F10" s="18"/>
      <c r="G10" s="19">
        <v>18</v>
      </c>
      <c r="H10" s="19">
        <f>E10</f>
        <v>279</v>
      </c>
      <c r="I10" s="19"/>
      <c r="J10" s="19">
        <f>SUM(J12:J131)</f>
        <v>0</v>
      </c>
      <c r="K10" s="19"/>
      <c r="L10" s="19"/>
      <c r="M10" s="19">
        <f>SUM(M12:M131)</f>
        <v>0</v>
      </c>
      <c r="N10" s="12">
        <f>E10</f>
        <v>279</v>
      </c>
      <c r="O10" s="12">
        <f>E10</f>
        <v>279</v>
      </c>
      <c r="P10" s="12">
        <f>E10</f>
        <v>279</v>
      </c>
      <c r="Q10" s="75"/>
    </row>
    <row r="11" spans="1:24" ht="15.75" thickBot="1" x14ac:dyDescent="0.3">
      <c r="A11" s="101"/>
    </row>
    <row r="12" spans="1:24" x14ac:dyDescent="0.25">
      <c r="A12" s="136" t="s">
        <v>44</v>
      </c>
      <c r="B12" s="137" t="s">
        <v>576</v>
      </c>
      <c r="C12" s="129" t="s">
        <v>166</v>
      </c>
      <c r="D12" s="129" t="s">
        <v>570</v>
      </c>
      <c r="E12" s="137" t="s">
        <v>65</v>
      </c>
      <c r="F12" s="130" t="s">
        <v>579</v>
      </c>
      <c r="G12" s="124" t="s">
        <v>551</v>
      </c>
      <c r="H12" s="128" t="s">
        <v>580</v>
      </c>
      <c r="I12" s="129" t="s">
        <v>581</v>
      </c>
      <c r="J12" s="130" t="s">
        <v>605</v>
      </c>
      <c r="K12" s="128" t="s">
        <v>577</v>
      </c>
      <c r="L12" s="129" t="s">
        <v>606</v>
      </c>
      <c r="M12" s="130" t="s">
        <v>607</v>
      </c>
      <c r="N12" s="128" t="s">
        <v>609</v>
      </c>
      <c r="O12" s="146"/>
      <c r="P12" s="146"/>
      <c r="Q12" s="147"/>
    </row>
    <row r="13" spans="1:24" x14ac:dyDescent="0.25">
      <c r="A13" s="23" t="s">
        <v>0</v>
      </c>
      <c r="B13" s="7" t="s">
        <v>58</v>
      </c>
      <c r="C13" s="1" t="s">
        <v>138</v>
      </c>
      <c r="D13" s="6" t="s">
        <v>588</v>
      </c>
      <c r="E13" s="7">
        <v>10</v>
      </c>
      <c r="F13" s="138" t="s">
        <v>582</v>
      </c>
      <c r="G13" s="125">
        <v>2</v>
      </c>
      <c r="H13" s="42">
        <v>0</v>
      </c>
      <c r="I13" s="1">
        <v>2</v>
      </c>
      <c r="J13" s="24"/>
      <c r="K13" s="42">
        <v>10</v>
      </c>
      <c r="L13" s="1"/>
      <c r="M13" s="24"/>
      <c r="N13" s="42" t="s">
        <v>604</v>
      </c>
      <c r="O13" s="123"/>
      <c r="P13" s="123"/>
      <c r="Q13" s="148"/>
    </row>
    <row r="14" spans="1:24" x14ac:dyDescent="0.25">
      <c r="A14" s="23" t="s">
        <v>0</v>
      </c>
      <c r="B14" s="7" t="s">
        <v>58</v>
      </c>
      <c r="C14" s="1" t="s">
        <v>139</v>
      </c>
      <c r="D14" s="6" t="s">
        <v>589</v>
      </c>
      <c r="E14" s="7">
        <v>12</v>
      </c>
      <c r="F14" s="138" t="s">
        <v>582</v>
      </c>
      <c r="G14" s="125">
        <v>2</v>
      </c>
      <c r="H14" s="42">
        <v>0</v>
      </c>
      <c r="I14" s="1">
        <v>2</v>
      </c>
      <c r="J14" s="24"/>
      <c r="K14" s="42">
        <v>10</v>
      </c>
      <c r="L14" s="1"/>
      <c r="M14" s="24"/>
      <c r="N14" s="42" t="s">
        <v>604</v>
      </c>
      <c r="O14" s="123"/>
      <c r="P14" s="123"/>
      <c r="Q14" s="148"/>
    </row>
    <row r="15" spans="1:24" x14ac:dyDescent="0.25">
      <c r="A15" s="23" t="s">
        <v>0</v>
      </c>
      <c r="B15" s="7" t="s">
        <v>58</v>
      </c>
      <c r="C15" s="1" t="s">
        <v>140</v>
      </c>
      <c r="D15" s="6" t="s">
        <v>590</v>
      </c>
      <c r="E15" s="2">
        <v>19</v>
      </c>
      <c r="F15" s="138" t="s">
        <v>582</v>
      </c>
      <c r="G15" s="125">
        <v>1</v>
      </c>
      <c r="H15" s="42">
        <v>9</v>
      </c>
      <c r="I15" s="1">
        <v>2</v>
      </c>
      <c r="J15" s="24"/>
      <c r="K15" s="42"/>
      <c r="L15" s="1"/>
      <c r="M15" s="24"/>
      <c r="N15" s="149"/>
      <c r="O15" s="123"/>
      <c r="P15" s="123"/>
      <c r="Q15" s="148"/>
    </row>
    <row r="16" spans="1:24" x14ac:dyDescent="0.25">
      <c r="A16" s="23" t="s">
        <v>0</v>
      </c>
      <c r="B16" s="7" t="s">
        <v>58</v>
      </c>
      <c r="C16" s="1" t="s">
        <v>141</v>
      </c>
      <c r="D16" s="6" t="s">
        <v>591</v>
      </c>
      <c r="E16" s="2">
        <f>15+16+6</f>
        <v>37</v>
      </c>
      <c r="F16" s="139" t="s">
        <v>578</v>
      </c>
      <c r="G16" s="125">
        <v>2</v>
      </c>
      <c r="H16" s="42">
        <v>29</v>
      </c>
      <c r="I16" s="1">
        <v>2</v>
      </c>
      <c r="J16" s="24"/>
      <c r="K16" s="42"/>
      <c r="L16" s="1"/>
      <c r="M16" s="24"/>
      <c r="N16" s="149"/>
      <c r="O16" s="123"/>
      <c r="P16" s="123"/>
      <c r="Q16" s="148"/>
    </row>
    <row r="17" spans="1:17" x14ac:dyDescent="0.25">
      <c r="A17" s="23" t="s">
        <v>0</v>
      </c>
      <c r="B17" s="7" t="s">
        <v>58</v>
      </c>
      <c r="C17" s="1" t="s">
        <v>142</v>
      </c>
      <c r="D17" s="6" t="s">
        <v>592</v>
      </c>
      <c r="E17" s="2">
        <f>12+21+6</f>
        <v>39</v>
      </c>
      <c r="F17" s="139" t="s">
        <v>584</v>
      </c>
      <c r="G17" s="125">
        <v>2</v>
      </c>
      <c r="H17" s="42"/>
      <c r="I17" s="1">
        <v>2</v>
      </c>
      <c r="J17" s="24"/>
      <c r="K17" s="42"/>
      <c r="L17" s="1"/>
      <c r="M17" s="24"/>
      <c r="N17" s="149"/>
      <c r="O17" s="123"/>
      <c r="P17" s="123"/>
      <c r="Q17" s="148"/>
    </row>
    <row r="18" spans="1:17" x14ac:dyDescent="0.25">
      <c r="A18" s="23" t="s">
        <v>28</v>
      </c>
      <c r="B18" s="18" t="s">
        <v>151</v>
      </c>
      <c r="C18" s="1" t="s">
        <v>143</v>
      </c>
      <c r="D18" s="6" t="s">
        <v>593</v>
      </c>
      <c r="E18" s="2">
        <v>5</v>
      </c>
      <c r="F18" s="138" t="s">
        <v>582</v>
      </c>
      <c r="G18" s="125">
        <v>1</v>
      </c>
      <c r="H18" s="42"/>
      <c r="I18" s="1">
        <v>2</v>
      </c>
      <c r="J18" s="24"/>
      <c r="K18" s="42"/>
      <c r="L18" s="1"/>
      <c r="M18" s="24"/>
      <c r="N18" s="149"/>
      <c r="O18" s="123"/>
      <c r="P18" s="123"/>
      <c r="Q18" s="148"/>
    </row>
    <row r="19" spans="1:17" x14ac:dyDescent="0.25">
      <c r="A19" s="23" t="s">
        <v>30</v>
      </c>
      <c r="B19" s="7" t="s">
        <v>57</v>
      </c>
      <c r="C19" s="1" t="s">
        <v>144</v>
      </c>
      <c r="D19" s="6" t="s">
        <v>594</v>
      </c>
      <c r="E19" s="2">
        <v>5</v>
      </c>
      <c r="F19" s="138" t="s">
        <v>582</v>
      </c>
      <c r="G19" s="125">
        <v>1</v>
      </c>
      <c r="H19" s="42"/>
      <c r="I19" s="1">
        <v>2</v>
      </c>
      <c r="J19" s="24"/>
      <c r="K19" s="42"/>
      <c r="L19" s="1"/>
      <c r="M19" s="24"/>
      <c r="N19" s="149"/>
      <c r="O19" s="123"/>
      <c r="P19" s="123"/>
      <c r="Q19" s="148"/>
    </row>
    <row r="20" spans="1:17" s="102" customFormat="1" x14ac:dyDescent="0.25">
      <c r="A20" s="23" t="s">
        <v>29</v>
      </c>
      <c r="B20" s="18" t="s">
        <v>59</v>
      </c>
      <c r="C20" s="1" t="s">
        <v>596</v>
      </c>
      <c r="D20" s="6" t="s">
        <v>595</v>
      </c>
      <c r="E20" s="2">
        <v>10</v>
      </c>
      <c r="F20" s="138" t="s">
        <v>582</v>
      </c>
      <c r="G20" s="125">
        <v>1</v>
      </c>
      <c r="H20" s="42"/>
      <c r="I20" s="1">
        <v>2</v>
      </c>
      <c r="J20" s="24"/>
      <c r="K20" s="42"/>
      <c r="L20" s="1"/>
      <c r="M20" s="24"/>
      <c r="N20" s="149"/>
      <c r="O20" s="123"/>
      <c r="P20" s="123"/>
      <c r="Q20" s="148"/>
    </row>
    <row r="21" spans="1:17" x14ac:dyDescent="0.25">
      <c r="A21" s="23" t="s">
        <v>29</v>
      </c>
      <c r="B21" s="18" t="s">
        <v>59</v>
      </c>
      <c r="C21" s="1" t="s">
        <v>597</v>
      </c>
      <c r="D21" s="6" t="s">
        <v>600</v>
      </c>
      <c r="E21" s="2">
        <v>11</v>
      </c>
      <c r="F21" s="138" t="s">
        <v>582</v>
      </c>
      <c r="G21" s="125">
        <v>1</v>
      </c>
      <c r="H21" s="42"/>
      <c r="I21" s="1">
        <v>2</v>
      </c>
      <c r="J21" s="24"/>
      <c r="K21" s="42"/>
      <c r="L21" s="1"/>
      <c r="M21" s="24"/>
      <c r="N21" s="149"/>
      <c r="O21" s="123"/>
      <c r="P21" s="123"/>
      <c r="Q21" s="148"/>
    </row>
    <row r="22" spans="1:17" x14ac:dyDescent="0.25">
      <c r="A22" s="23" t="s">
        <v>29</v>
      </c>
      <c r="B22" s="18" t="s">
        <v>59</v>
      </c>
      <c r="C22" s="1" t="s">
        <v>145</v>
      </c>
      <c r="D22" s="6" t="s">
        <v>601</v>
      </c>
      <c r="E22" s="7">
        <v>14</v>
      </c>
      <c r="F22" s="138" t="s">
        <v>582</v>
      </c>
      <c r="G22" s="125">
        <v>1</v>
      </c>
      <c r="H22" s="42"/>
      <c r="I22" s="1">
        <v>2</v>
      </c>
      <c r="J22" s="24"/>
      <c r="K22" s="42">
        <v>14</v>
      </c>
      <c r="L22" s="1"/>
      <c r="M22" s="24"/>
      <c r="N22" s="42" t="s">
        <v>604</v>
      </c>
      <c r="O22" s="123"/>
      <c r="P22" s="123"/>
      <c r="Q22" s="148"/>
    </row>
    <row r="23" spans="1:17" x14ac:dyDescent="0.25">
      <c r="A23" s="23" t="s">
        <v>29</v>
      </c>
      <c r="B23" s="18" t="s">
        <v>59</v>
      </c>
      <c r="C23" s="1" t="s">
        <v>146</v>
      </c>
      <c r="D23" s="6" t="s">
        <v>602</v>
      </c>
      <c r="E23" s="2">
        <v>31</v>
      </c>
      <c r="F23" s="138" t="s">
        <v>582</v>
      </c>
      <c r="G23" s="125">
        <v>1</v>
      </c>
      <c r="H23" s="42">
        <v>16</v>
      </c>
      <c r="I23" s="1">
        <v>2</v>
      </c>
      <c r="J23" s="24"/>
      <c r="K23" s="42"/>
      <c r="L23" s="1"/>
      <c r="M23" s="24"/>
      <c r="N23" s="42"/>
      <c r="O23" s="123"/>
      <c r="P23" s="123"/>
      <c r="Q23" s="148"/>
    </row>
    <row r="24" spans="1:17" x14ac:dyDescent="0.25">
      <c r="A24" s="23" t="s">
        <v>29</v>
      </c>
      <c r="B24" s="18" t="s">
        <v>59</v>
      </c>
      <c r="C24" s="1" t="s">
        <v>147</v>
      </c>
      <c r="D24" s="6" t="s">
        <v>603</v>
      </c>
      <c r="E24" s="2">
        <v>27</v>
      </c>
      <c r="F24" s="138" t="s">
        <v>582</v>
      </c>
      <c r="G24" s="125">
        <v>1</v>
      </c>
      <c r="H24" s="42"/>
      <c r="I24" s="1">
        <v>2</v>
      </c>
      <c r="J24" s="24"/>
      <c r="K24" s="42"/>
      <c r="L24" s="1"/>
      <c r="M24" s="24"/>
      <c r="N24" s="149"/>
      <c r="O24" s="123"/>
      <c r="P24" s="123"/>
      <c r="Q24" s="148"/>
    </row>
    <row r="25" spans="1:17" x14ac:dyDescent="0.25">
      <c r="A25" s="140" t="s">
        <v>28</v>
      </c>
      <c r="B25" s="93" t="s">
        <v>151</v>
      </c>
      <c r="C25" s="17" t="s">
        <v>148</v>
      </c>
      <c r="D25" s="17" t="s">
        <v>598</v>
      </c>
      <c r="E25" s="93">
        <v>10</v>
      </c>
      <c r="F25" s="132" t="s">
        <v>587</v>
      </c>
      <c r="G25" s="126"/>
      <c r="H25" s="131"/>
      <c r="I25" s="17">
        <v>2</v>
      </c>
      <c r="J25" s="132"/>
      <c r="K25" s="131"/>
      <c r="L25" s="17"/>
      <c r="M25" s="132"/>
      <c r="N25" s="150" t="s">
        <v>47</v>
      </c>
      <c r="O25" s="17"/>
      <c r="P25" s="17" t="s">
        <v>610</v>
      </c>
      <c r="Q25" s="151"/>
    </row>
    <row r="26" spans="1:17" x14ac:dyDescent="0.25">
      <c r="A26" s="140" t="s">
        <v>28</v>
      </c>
      <c r="B26" s="93" t="s">
        <v>151</v>
      </c>
      <c r="C26" s="17" t="s">
        <v>149</v>
      </c>
      <c r="D26" s="17" t="s">
        <v>599</v>
      </c>
      <c r="E26" s="93">
        <v>15</v>
      </c>
      <c r="F26" s="132" t="s">
        <v>585</v>
      </c>
      <c r="G26" s="126"/>
      <c r="H26" s="131"/>
      <c r="I26" s="17">
        <v>2</v>
      </c>
      <c r="J26" s="132"/>
      <c r="K26" s="131"/>
      <c r="L26" s="17"/>
      <c r="M26" s="132"/>
      <c r="N26" s="150" t="s">
        <v>64</v>
      </c>
      <c r="O26" s="17"/>
      <c r="P26" s="17" t="s">
        <v>610</v>
      </c>
      <c r="Q26" s="151"/>
    </row>
    <row r="27" spans="1:17" x14ac:dyDescent="0.25">
      <c r="A27" s="23" t="s">
        <v>0</v>
      </c>
      <c r="B27" s="18" t="s">
        <v>58</v>
      </c>
      <c r="C27" s="1" t="s">
        <v>150</v>
      </c>
      <c r="D27" s="1" t="s">
        <v>571</v>
      </c>
      <c r="E27" s="2">
        <v>12</v>
      </c>
      <c r="F27" s="24" t="s">
        <v>585</v>
      </c>
      <c r="G27" s="125"/>
      <c r="H27" s="42"/>
      <c r="I27" s="1">
        <v>2</v>
      </c>
      <c r="J27" s="24"/>
      <c r="K27" s="42"/>
      <c r="L27" s="1"/>
      <c r="M27" s="24"/>
      <c r="N27" s="149"/>
      <c r="O27" s="123"/>
      <c r="P27" s="123"/>
      <c r="Q27" s="148"/>
    </row>
    <row r="28" spans="1:17" x14ac:dyDescent="0.25">
      <c r="A28" s="23" t="s">
        <v>0</v>
      </c>
      <c r="B28" s="18" t="s">
        <v>58</v>
      </c>
      <c r="C28" s="1" t="s">
        <v>150</v>
      </c>
      <c r="D28" s="1" t="s">
        <v>572</v>
      </c>
      <c r="E28" s="2">
        <v>4</v>
      </c>
      <c r="F28" s="24" t="s">
        <v>585</v>
      </c>
      <c r="G28" s="125"/>
      <c r="H28" s="42"/>
      <c r="I28" s="1">
        <v>2</v>
      </c>
      <c r="J28" s="24"/>
      <c r="K28" s="42"/>
      <c r="L28" s="1"/>
      <c r="M28" s="24"/>
      <c r="N28" s="149"/>
      <c r="O28" s="123"/>
      <c r="P28" s="123"/>
      <c r="Q28" s="148"/>
    </row>
    <row r="29" spans="1:17" x14ac:dyDescent="0.25">
      <c r="A29" s="23" t="s">
        <v>0</v>
      </c>
      <c r="B29" s="18" t="s">
        <v>58</v>
      </c>
      <c r="C29" s="1" t="s">
        <v>150</v>
      </c>
      <c r="D29" s="1" t="s">
        <v>573</v>
      </c>
      <c r="E29" s="2">
        <v>4</v>
      </c>
      <c r="F29" s="24" t="s">
        <v>585</v>
      </c>
      <c r="G29" s="125"/>
      <c r="H29" s="42"/>
      <c r="I29" s="1">
        <v>2</v>
      </c>
      <c r="J29" s="24"/>
      <c r="K29" s="42"/>
      <c r="L29" s="1"/>
      <c r="M29" s="24"/>
      <c r="N29" s="149"/>
      <c r="O29" s="123"/>
      <c r="P29" s="123"/>
      <c r="Q29" s="148"/>
    </row>
    <row r="30" spans="1:17" x14ac:dyDescent="0.25">
      <c r="A30" s="23" t="s">
        <v>28</v>
      </c>
      <c r="B30" s="7" t="s">
        <v>151</v>
      </c>
      <c r="C30" s="1" t="s">
        <v>150</v>
      </c>
      <c r="D30" s="1" t="s">
        <v>574</v>
      </c>
      <c r="E30" s="2">
        <v>12</v>
      </c>
      <c r="F30" s="141" t="s">
        <v>583</v>
      </c>
      <c r="G30" s="125">
        <v>1</v>
      </c>
      <c r="H30" s="42"/>
      <c r="I30" s="1">
        <v>2</v>
      </c>
      <c r="J30" s="24"/>
      <c r="K30" s="42"/>
      <c r="L30" s="1"/>
      <c r="M30" s="24"/>
      <c r="N30" s="149"/>
      <c r="O30" s="123"/>
      <c r="P30" s="123"/>
      <c r="Q30" s="148"/>
    </row>
    <row r="31" spans="1:17" ht="15.75" thickBot="1" x14ac:dyDescent="0.3">
      <c r="A31" s="142" t="s">
        <v>28</v>
      </c>
      <c r="B31" s="143" t="s">
        <v>151</v>
      </c>
      <c r="C31" s="134" t="s">
        <v>150</v>
      </c>
      <c r="D31" s="134" t="s">
        <v>575</v>
      </c>
      <c r="E31" s="144">
        <v>2</v>
      </c>
      <c r="F31" s="145" t="s">
        <v>583</v>
      </c>
      <c r="G31" s="127">
        <v>1</v>
      </c>
      <c r="H31" s="133"/>
      <c r="I31" s="134">
        <v>2</v>
      </c>
      <c r="J31" s="135"/>
      <c r="K31" s="133"/>
      <c r="L31" s="134"/>
      <c r="M31" s="135"/>
      <c r="N31" s="152"/>
      <c r="O31" s="153"/>
      <c r="P31" s="153"/>
      <c r="Q31" s="154"/>
    </row>
    <row r="32" spans="1:17" x14ac:dyDescent="0.25">
      <c r="A32" s="102"/>
      <c r="B32" s="102"/>
      <c r="C32" s="102"/>
      <c r="D32" s="102"/>
      <c r="E32" s="102"/>
      <c r="F32" s="102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2"/>
  <sheetViews>
    <sheetView zoomScaleNormal="100" workbookViewId="0">
      <selection sqref="A1:XFD1"/>
    </sheetView>
  </sheetViews>
  <sheetFormatPr baseColWidth="10" defaultRowHeight="15" x14ac:dyDescent="0.25"/>
  <cols>
    <col min="1" max="1" width="15.7109375" style="3" customWidth="1"/>
    <col min="5" max="5" width="21.85546875" customWidth="1"/>
    <col min="7" max="7" width="11.5703125" style="167"/>
    <col min="8" max="8" width="14.28515625" style="16" customWidth="1"/>
    <col min="9" max="10" width="11.5703125" style="16"/>
    <col min="11" max="11" width="12.28515625" style="16" customWidth="1"/>
    <col min="12" max="12" width="12.42578125" style="16" customWidth="1"/>
    <col min="13" max="13" width="14.28515625" style="16" customWidth="1"/>
    <col min="14" max="14" width="16.42578125" style="16" customWidth="1"/>
    <col min="15" max="16" width="18.140625" style="16" customWidth="1"/>
    <col min="17" max="28" width="11.5703125" style="16"/>
  </cols>
  <sheetData>
    <row r="1" spans="1:38" s="176" customFormat="1" ht="18.75" x14ac:dyDescent="0.3">
      <c r="A1" s="103" t="s">
        <v>553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4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176" customFormat="1" ht="18.75" x14ac:dyDescent="0.3">
      <c r="A2" s="105" t="s">
        <v>554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0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s="176" customFormat="1" ht="18.75" x14ac:dyDescent="0.3">
      <c r="A3" s="105" t="s">
        <v>734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0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s="176" customFormat="1" ht="19.5" thickBot="1" x14ac:dyDescent="0.35">
      <c r="A4" s="107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08" t="s">
        <v>556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38" s="176" customFormat="1" ht="15.75" thickBot="1" x14ac:dyDescent="0.3">
      <c r="A5" s="3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38" x14ac:dyDescent="0.25">
      <c r="A6" s="20"/>
      <c r="B6" s="21" t="s">
        <v>67</v>
      </c>
      <c r="C6" s="21"/>
      <c r="D6" s="21"/>
      <c r="E6" s="22"/>
      <c r="F6" s="32"/>
      <c r="G6" s="170"/>
      <c r="H6" s="33" t="s">
        <v>133</v>
      </c>
      <c r="I6" s="33"/>
      <c r="J6" s="34"/>
      <c r="K6" s="39"/>
      <c r="L6" s="40" t="s">
        <v>132</v>
      </c>
      <c r="M6" s="41"/>
      <c r="N6" s="46" t="s">
        <v>135</v>
      </c>
      <c r="O6" s="47"/>
    </row>
    <row r="7" spans="1:38" x14ac:dyDescent="0.25">
      <c r="A7" s="23"/>
      <c r="B7" s="1" t="s">
        <v>50</v>
      </c>
      <c r="C7" s="1" t="s">
        <v>49</v>
      </c>
      <c r="D7" s="1" t="s">
        <v>131</v>
      </c>
      <c r="E7" s="24"/>
      <c r="F7" s="35" t="s">
        <v>483</v>
      </c>
      <c r="G7" s="35" t="s">
        <v>724</v>
      </c>
      <c r="H7" s="6" t="s">
        <v>128</v>
      </c>
      <c r="I7" s="6" t="s">
        <v>56</v>
      </c>
      <c r="J7" s="36" t="s">
        <v>129</v>
      </c>
      <c r="K7" s="35" t="s">
        <v>130</v>
      </c>
      <c r="L7" s="6" t="s">
        <v>126</v>
      </c>
      <c r="M7" s="36" t="s">
        <v>127</v>
      </c>
      <c r="N7" s="48" t="s">
        <v>134</v>
      </c>
      <c r="O7" s="49" t="s">
        <v>725</v>
      </c>
    </row>
    <row r="8" spans="1:38" ht="15.75" thickBot="1" x14ac:dyDescent="0.3">
      <c r="A8" s="61" t="s">
        <v>125</v>
      </c>
      <c r="B8" s="62"/>
      <c r="C8" s="62"/>
      <c r="D8" s="62"/>
      <c r="E8" s="63"/>
      <c r="F8" s="64">
        <v>110</v>
      </c>
      <c r="G8" s="64">
        <v>18</v>
      </c>
      <c r="H8" s="65">
        <v>25</v>
      </c>
      <c r="I8" s="65">
        <v>300</v>
      </c>
      <c r="J8" s="66">
        <v>100</v>
      </c>
      <c r="K8" s="67">
        <v>600</v>
      </c>
      <c r="L8" s="68">
        <v>600</v>
      </c>
      <c r="M8" s="69">
        <v>600</v>
      </c>
      <c r="N8" s="70">
        <v>110</v>
      </c>
      <c r="O8" s="71">
        <v>6</v>
      </c>
    </row>
    <row r="9" spans="1:38" x14ac:dyDescent="0.25">
      <c r="A9" s="51" t="s">
        <v>124</v>
      </c>
      <c r="C9" s="96">
        <f>COUNTA(C10:C132)</f>
        <v>123</v>
      </c>
      <c r="D9" s="96">
        <f>SUM(D10:D132)</f>
        <v>556</v>
      </c>
      <c r="E9" s="53" t="s">
        <v>614</v>
      </c>
      <c r="F9" s="54">
        <f>C9</f>
        <v>123</v>
      </c>
      <c r="G9" s="171"/>
      <c r="H9" s="55">
        <f>D9</f>
        <v>556</v>
      </c>
      <c r="I9" s="55">
        <f>SUM(I10:I132)</f>
        <v>246</v>
      </c>
      <c r="J9" s="56">
        <f>SUM(J10:J132)</f>
        <v>0</v>
      </c>
      <c r="K9" s="51">
        <f>D9</f>
        <v>556</v>
      </c>
      <c r="L9" s="57">
        <f>D9</f>
        <v>556</v>
      </c>
      <c r="M9" s="58">
        <f>D9</f>
        <v>556</v>
      </c>
      <c r="N9" s="59"/>
      <c r="O9" s="60"/>
    </row>
    <row r="10" spans="1:38" x14ac:dyDescent="0.25">
      <c r="A10" s="25" t="s">
        <v>58</v>
      </c>
      <c r="B10" s="7" t="s">
        <v>48</v>
      </c>
      <c r="C10" s="2">
        <v>1</v>
      </c>
      <c r="D10" s="2">
        <v>4</v>
      </c>
      <c r="E10" s="24"/>
      <c r="F10" s="23">
        <v>1</v>
      </c>
      <c r="G10" s="172"/>
      <c r="H10" s="2">
        <v>1</v>
      </c>
      <c r="I10" s="2">
        <v>2</v>
      </c>
      <c r="J10" s="36"/>
      <c r="K10" s="42"/>
      <c r="L10" s="1"/>
      <c r="M10" s="24"/>
      <c r="N10" s="35"/>
      <c r="O10" s="36"/>
    </row>
    <row r="11" spans="1:38" x14ac:dyDescent="0.25">
      <c r="A11" s="25" t="s">
        <v>58</v>
      </c>
      <c r="B11" s="7" t="s">
        <v>48</v>
      </c>
      <c r="C11" s="2">
        <v>2</v>
      </c>
      <c r="D11" s="2">
        <v>4</v>
      </c>
      <c r="E11" s="24"/>
      <c r="F11" s="23">
        <v>1</v>
      </c>
      <c r="G11" s="172"/>
      <c r="H11" s="2">
        <v>1</v>
      </c>
      <c r="I11" s="2">
        <v>2</v>
      </c>
      <c r="J11" s="36"/>
      <c r="K11" s="42"/>
      <c r="L11" s="1"/>
      <c r="M11" s="24"/>
      <c r="N11" s="35"/>
      <c r="O11" s="36"/>
    </row>
    <row r="12" spans="1:38" x14ac:dyDescent="0.25">
      <c r="A12" s="25" t="s">
        <v>58</v>
      </c>
      <c r="B12" s="7" t="s">
        <v>48</v>
      </c>
      <c r="C12" s="2">
        <v>3</v>
      </c>
      <c r="D12" s="2">
        <v>4</v>
      </c>
      <c r="E12" s="24" t="s">
        <v>669</v>
      </c>
      <c r="F12" s="23">
        <v>1</v>
      </c>
      <c r="G12" s="172"/>
      <c r="H12" s="2">
        <v>1</v>
      </c>
      <c r="I12" s="2">
        <v>2</v>
      </c>
      <c r="J12" s="36"/>
      <c r="K12" s="42"/>
      <c r="L12" s="1"/>
      <c r="M12" s="24"/>
      <c r="N12" s="35"/>
      <c r="O12" s="36"/>
    </row>
    <row r="13" spans="1:38" x14ac:dyDescent="0.25">
      <c r="A13" s="25" t="s">
        <v>58</v>
      </c>
      <c r="B13" s="7" t="s">
        <v>48</v>
      </c>
      <c r="C13" s="2">
        <v>4</v>
      </c>
      <c r="D13" s="2">
        <v>4</v>
      </c>
      <c r="E13" s="24"/>
      <c r="F13" s="23">
        <v>1</v>
      </c>
      <c r="G13" s="172"/>
      <c r="H13" s="2">
        <v>1</v>
      </c>
      <c r="I13" s="2">
        <v>2</v>
      </c>
      <c r="J13" s="36"/>
      <c r="K13" s="42"/>
      <c r="L13" s="1"/>
      <c r="M13" s="24"/>
      <c r="N13" s="35"/>
      <c r="O13" s="36"/>
    </row>
    <row r="14" spans="1:38" x14ac:dyDescent="0.25">
      <c r="A14" s="25" t="s">
        <v>58</v>
      </c>
      <c r="B14" s="7" t="s">
        <v>48</v>
      </c>
      <c r="C14" s="2">
        <v>5</v>
      </c>
      <c r="D14" s="2">
        <v>4</v>
      </c>
      <c r="E14" s="24"/>
      <c r="F14" s="23">
        <v>1</v>
      </c>
      <c r="G14" s="172"/>
      <c r="H14" s="2">
        <v>1</v>
      </c>
      <c r="I14" s="2">
        <v>2</v>
      </c>
      <c r="J14" s="36"/>
      <c r="K14" s="42"/>
      <c r="L14" s="1"/>
      <c r="M14" s="24"/>
      <c r="N14" s="35"/>
      <c r="O14" s="36"/>
    </row>
    <row r="15" spans="1:38" x14ac:dyDescent="0.25">
      <c r="A15" s="25" t="s">
        <v>58</v>
      </c>
      <c r="B15" s="7" t="s">
        <v>48</v>
      </c>
      <c r="C15" s="2">
        <v>6</v>
      </c>
      <c r="D15" s="2">
        <v>4</v>
      </c>
      <c r="E15" s="24"/>
      <c r="F15" s="23">
        <v>1</v>
      </c>
      <c r="G15" s="172"/>
      <c r="H15" s="2">
        <v>1</v>
      </c>
      <c r="I15" s="2">
        <v>2</v>
      </c>
      <c r="J15" s="36"/>
      <c r="K15" s="42"/>
      <c r="L15" s="1"/>
      <c r="M15" s="24"/>
      <c r="N15" s="35"/>
      <c r="O15" s="36"/>
    </row>
    <row r="16" spans="1:38" x14ac:dyDescent="0.25">
      <c r="A16" s="25" t="s">
        <v>58</v>
      </c>
      <c r="B16" s="7" t="s">
        <v>48</v>
      </c>
      <c r="C16" s="2">
        <v>7</v>
      </c>
      <c r="D16" s="2">
        <v>4</v>
      </c>
      <c r="E16" s="24"/>
      <c r="F16" s="23">
        <v>1</v>
      </c>
      <c r="G16" s="172"/>
      <c r="H16" s="2">
        <v>1</v>
      </c>
      <c r="I16" s="2">
        <v>2</v>
      </c>
      <c r="J16" s="36"/>
      <c r="K16" s="42"/>
      <c r="L16" s="1"/>
      <c r="M16" s="24"/>
      <c r="N16" s="35"/>
      <c r="O16" s="36"/>
    </row>
    <row r="17" spans="1:15" x14ac:dyDescent="0.25">
      <c r="A17" s="25" t="s">
        <v>58</v>
      </c>
      <c r="B17" s="7" t="s">
        <v>48</v>
      </c>
      <c r="C17" s="2">
        <v>8</v>
      </c>
      <c r="D17" s="2">
        <v>10</v>
      </c>
      <c r="E17" s="24"/>
      <c r="F17" s="23">
        <v>1</v>
      </c>
      <c r="G17" s="172"/>
      <c r="H17" s="2">
        <v>1</v>
      </c>
      <c r="I17" s="2">
        <v>2</v>
      </c>
      <c r="J17" s="36"/>
      <c r="K17" s="42"/>
      <c r="L17" s="1"/>
      <c r="M17" s="24"/>
      <c r="N17" s="35"/>
      <c r="O17" s="36"/>
    </row>
    <row r="18" spans="1:15" x14ac:dyDescent="0.25">
      <c r="A18" s="25" t="s">
        <v>58</v>
      </c>
      <c r="B18" s="7" t="s">
        <v>48</v>
      </c>
      <c r="C18" s="2">
        <v>9</v>
      </c>
      <c r="D18" s="2">
        <v>4</v>
      </c>
      <c r="E18" s="24"/>
      <c r="F18" s="23">
        <v>1</v>
      </c>
      <c r="G18" s="172"/>
      <c r="H18" s="2">
        <v>1</v>
      </c>
      <c r="I18" s="2">
        <v>2</v>
      </c>
      <c r="J18" s="36"/>
      <c r="K18" s="42"/>
      <c r="L18" s="1"/>
      <c r="M18" s="24"/>
      <c r="N18" s="35"/>
      <c r="O18" s="36"/>
    </row>
    <row r="19" spans="1:15" x14ac:dyDescent="0.25">
      <c r="A19" s="25" t="s">
        <v>58</v>
      </c>
      <c r="B19" s="7" t="s">
        <v>48</v>
      </c>
      <c r="C19" s="2">
        <v>10</v>
      </c>
      <c r="D19" s="2">
        <v>4</v>
      </c>
      <c r="E19" s="24"/>
      <c r="F19" s="23">
        <v>1</v>
      </c>
      <c r="G19" s="172"/>
      <c r="H19" s="2">
        <v>1</v>
      </c>
      <c r="I19" s="2">
        <v>2</v>
      </c>
      <c r="J19" s="36"/>
      <c r="K19" s="42"/>
      <c r="L19" s="1"/>
      <c r="M19" s="24"/>
      <c r="N19" s="35"/>
      <c r="O19" s="36"/>
    </row>
    <row r="20" spans="1:15" x14ac:dyDescent="0.25">
      <c r="A20" s="25" t="s">
        <v>58</v>
      </c>
      <c r="B20" s="7" t="s">
        <v>48</v>
      </c>
      <c r="C20" s="2">
        <v>11</v>
      </c>
      <c r="D20" s="2">
        <v>4</v>
      </c>
      <c r="E20" s="24"/>
      <c r="F20" s="23">
        <v>1</v>
      </c>
      <c r="G20" s="172"/>
      <c r="H20" s="2">
        <v>1</v>
      </c>
      <c r="I20" s="2">
        <v>2</v>
      </c>
      <c r="J20" s="36"/>
      <c r="K20" s="42"/>
      <c r="L20" s="1"/>
      <c r="M20" s="24"/>
      <c r="N20" s="35"/>
      <c r="O20" s="36"/>
    </row>
    <row r="21" spans="1:15" x14ac:dyDescent="0.25">
      <c r="A21" s="25" t="s">
        <v>58</v>
      </c>
      <c r="B21" s="7" t="s">
        <v>48</v>
      </c>
      <c r="C21" s="2">
        <v>12</v>
      </c>
      <c r="D21" s="2">
        <v>4</v>
      </c>
      <c r="E21" s="24"/>
      <c r="F21" s="23">
        <v>1</v>
      </c>
      <c r="G21" s="172"/>
      <c r="H21" s="2">
        <v>1</v>
      </c>
      <c r="I21" s="2">
        <v>2</v>
      </c>
      <c r="J21" s="36"/>
      <c r="K21" s="42"/>
      <c r="L21" s="1"/>
      <c r="M21" s="24"/>
      <c r="N21" s="35"/>
      <c r="O21" s="36"/>
    </row>
    <row r="22" spans="1:15" x14ac:dyDescent="0.25">
      <c r="A22" s="25" t="s">
        <v>58</v>
      </c>
      <c r="B22" s="7" t="s">
        <v>48</v>
      </c>
      <c r="C22" s="2">
        <v>13</v>
      </c>
      <c r="D22" s="2">
        <v>4</v>
      </c>
      <c r="E22" s="24"/>
      <c r="F22" s="23">
        <v>1</v>
      </c>
      <c r="G22" s="172"/>
      <c r="H22" s="2">
        <v>1</v>
      </c>
      <c r="I22" s="2">
        <v>2</v>
      </c>
      <c r="J22" s="36"/>
      <c r="K22" s="42"/>
      <c r="L22" s="1"/>
      <c r="M22" s="24"/>
      <c r="N22" s="35"/>
      <c r="O22" s="36"/>
    </row>
    <row r="23" spans="1:15" x14ac:dyDescent="0.25">
      <c r="A23" s="25" t="s">
        <v>58</v>
      </c>
      <c r="B23" s="7" t="s">
        <v>48</v>
      </c>
      <c r="C23" s="2">
        <v>14</v>
      </c>
      <c r="D23" s="2">
        <v>4</v>
      </c>
      <c r="E23" s="24"/>
      <c r="F23" s="23">
        <v>1</v>
      </c>
      <c r="G23" s="172"/>
      <c r="H23" s="2">
        <v>1</v>
      </c>
      <c r="I23" s="2">
        <v>2</v>
      </c>
      <c r="J23" s="36"/>
      <c r="K23" s="42"/>
      <c r="L23" s="1"/>
      <c r="M23" s="24"/>
      <c r="N23" s="35"/>
      <c r="O23" s="36"/>
    </row>
    <row r="24" spans="1:15" x14ac:dyDescent="0.25">
      <c r="A24" s="25" t="s">
        <v>58</v>
      </c>
      <c r="B24" s="7" t="s">
        <v>48</v>
      </c>
      <c r="C24" s="2">
        <v>15</v>
      </c>
      <c r="D24" s="2">
        <v>4</v>
      </c>
      <c r="E24" s="24" t="s">
        <v>670</v>
      </c>
      <c r="F24" s="23">
        <v>1</v>
      </c>
      <c r="G24" s="172"/>
      <c r="H24" s="2">
        <v>1</v>
      </c>
      <c r="I24" s="2">
        <v>2</v>
      </c>
      <c r="J24" s="36"/>
      <c r="K24" s="42"/>
      <c r="L24" s="1"/>
      <c r="M24" s="24"/>
      <c r="N24" s="35"/>
      <c r="O24" s="36"/>
    </row>
    <row r="25" spans="1:15" x14ac:dyDescent="0.25">
      <c r="A25" s="25" t="s">
        <v>58</v>
      </c>
      <c r="B25" s="7" t="s">
        <v>48</v>
      </c>
      <c r="C25" s="2">
        <v>16</v>
      </c>
      <c r="D25" s="2">
        <v>4</v>
      </c>
      <c r="E25" s="24" t="s">
        <v>667</v>
      </c>
      <c r="F25" s="23">
        <v>1</v>
      </c>
      <c r="G25" s="172"/>
      <c r="H25" s="2">
        <v>1</v>
      </c>
      <c r="I25" s="2">
        <v>2</v>
      </c>
      <c r="J25" s="36"/>
      <c r="K25" s="42"/>
      <c r="L25" s="1"/>
      <c r="M25" s="24"/>
      <c r="N25" s="35"/>
      <c r="O25" s="36"/>
    </row>
    <row r="26" spans="1:15" x14ac:dyDescent="0.25">
      <c r="A26" s="25" t="s">
        <v>58</v>
      </c>
      <c r="B26" s="2" t="s">
        <v>51</v>
      </c>
      <c r="C26" s="2">
        <v>1</v>
      </c>
      <c r="D26" s="2">
        <v>4</v>
      </c>
      <c r="E26" s="24"/>
      <c r="F26" s="23">
        <v>1</v>
      </c>
      <c r="G26" s="172"/>
      <c r="H26" s="2">
        <v>1</v>
      </c>
      <c r="I26" s="2">
        <v>2</v>
      </c>
      <c r="J26" s="36"/>
      <c r="K26" s="42"/>
      <c r="L26" s="1"/>
      <c r="M26" s="24"/>
      <c r="N26" s="35"/>
      <c r="O26" s="36"/>
    </row>
    <row r="27" spans="1:15" x14ac:dyDescent="0.25">
      <c r="A27" s="25" t="s">
        <v>58</v>
      </c>
      <c r="B27" s="2" t="s">
        <v>51</v>
      </c>
      <c r="C27" s="2">
        <v>2</v>
      </c>
      <c r="D27" s="2">
        <v>4</v>
      </c>
      <c r="E27" s="24"/>
      <c r="F27" s="23">
        <v>1</v>
      </c>
      <c r="G27" s="172"/>
      <c r="H27" s="2">
        <v>1</v>
      </c>
      <c r="I27" s="2">
        <v>2</v>
      </c>
      <c r="J27" s="36"/>
      <c r="K27" s="42"/>
      <c r="L27" s="1"/>
      <c r="M27" s="24"/>
      <c r="N27" s="35"/>
      <c r="O27" s="36"/>
    </row>
    <row r="28" spans="1:15" x14ac:dyDescent="0.25">
      <c r="A28" s="25" t="s">
        <v>58</v>
      </c>
      <c r="B28" s="2" t="s">
        <v>51</v>
      </c>
      <c r="C28" s="2">
        <v>3</v>
      </c>
      <c r="D28" s="2">
        <v>4</v>
      </c>
      <c r="E28" s="24" t="s">
        <v>667</v>
      </c>
      <c r="F28" s="23">
        <v>1</v>
      </c>
      <c r="G28" s="172"/>
      <c r="H28" s="2">
        <v>1</v>
      </c>
      <c r="I28" s="2">
        <v>2</v>
      </c>
      <c r="J28" s="36"/>
      <c r="K28" s="42"/>
      <c r="L28" s="1"/>
      <c r="M28" s="24"/>
      <c r="N28" s="35"/>
      <c r="O28" s="36"/>
    </row>
    <row r="29" spans="1:15" x14ac:dyDescent="0.25">
      <c r="A29" s="25" t="s">
        <v>58</v>
      </c>
      <c r="B29" s="2" t="s">
        <v>51</v>
      </c>
      <c r="C29" s="2">
        <v>4</v>
      </c>
      <c r="D29" s="2">
        <v>4</v>
      </c>
      <c r="E29" s="24"/>
      <c r="F29" s="23">
        <v>1</v>
      </c>
      <c r="G29" s="172"/>
      <c r="H29" s="2">
        <v>1</v>
      </c>
      <c r="I29" s="2">
        <v>2</v>
      </c>
      <c r="J29" s="36"/>
      <c r="K29" s="42"/>
      <c r="L29" s="1"/>
      <c r="M29" s="24"/>
      <c r="N29" s="35"/>
      <c r="O29" s="36"/>
    </row>
    <row r="30" spans="1:15" x14ac:dyDescent="0.25">
      <c r="A30" s="25" t="s">
        <v>58</v>
      </c>
      <c r="B30" s="2" t="s">
        <v>51</v>
      </c>
      <c r="C30" s="2">
        <v>5</v>
      </c>
      <c r="D30" s="2">
        <v>4</v>
      </c>
      <c r="E30" s="24"/>
      <c r="F30" s="23">
        <v>1</v>
      </c>
      <c r="G30" s="172"/>
      <c r="H30" s="2">
        <v>1</v>
      </c>
      <c r="I30" s="2">
        <v>2</v>
      </c>
      <c r="J30" s="36"/>
      <c r="K30" s="42"/>
      <c r="L30" s="1"/>
      <c r="M30" s="24"/>
      <c r="N30" s="35"/>
      <c r="O30" s="36"/>
    </row>
    <row r="31" spans="1:15" x14ac:dyDescent="0.25">
      <c r="A31" s="25" t="s">
        <v>58</v>
      </c>
      <c r="B31" s="2" t="s">
        <v>51</v>
      </c>
      <c r="C31" s="2">
        <v>6</v>
      </c>
      <c r="D31" s="2">
        <v>4</v>
      </c>
      <c r="E31" s="24"/>
      <c r="F31" s="23">
        <v>1</v>
      </c>
      <c r="G31" s="172"/>
      <c r="H31" s="2">
        <v>1</v>
      </c>
      <c r="I31" s="2">
        <v>2</v>
      </c>
      <c r="J31" s="36"/>
      <c r="K31" s="42"/>
      <c r="L31" s="1"/>
      <c r="M31" s="24"/>
      <c r="N31" s="35"/>
      <c r="O31" s="36"/>
    </row>
    <row r="32" spans="1:15" x14ac:dyDescent="0.25">
      <c r="A32" s="25" t="s">
        <v>58</v>
      </c>
      <c r="B32" s="2" t="s">
        <v>51</v>
      </c>
      <c r="C32" s="2">
        <v>7</v>
      </c>
      <c r="D32" s="2">
        <v>4</v>
      </c>
      <c r="E32" s="24"/>
      <c r="F32" s="23">
        <v>1</v>
      </c>
      <c r="G32" s="172"/>
      <c r="H32" s="2">
        <v>1</v>
      </c>
      <c r="I32" s="2">
        <v>2</v>
      </c>
      <c r="J32" s="36"/>
      <c r="K32" s="42"/>
      <c r="L32" s="1"/>
      <c r="M32" s="24"/>
      <c r="N32" s="35"/>
      <c r="O32" s="36"/>
    </row>
    <row r="33" spans="1:15" x14ac:dyDescent="0.25">
      <c r="A33" s="25" t="s">
        <v>58</v>
      </c>
      <c r="B33" s="2" t="s">
        <v>51</v>
      </c>
      <c r="C33" s="2">
        <v>8</v>
      </c>
      <c r="D33" s="2">
        <v>4</v>
      </c>
      <c r="E33" s="24"/>
      <c r="F33" s="23">
        <v>1</v>
      </c>
      <c r="G33" s="172"/>
      <c r="H33" s="2">
        <v>1</v>
      </c>
      <c r="I33" s="2">
        <v>2</v>
      </c>
      <c r="J33" s="36"/>
      <c r="K33" s="42"/>
      <c r="L33" s="1"/>
      <c r="M33" s="24"/>
      <c r="N33" s="35"/>
      <c r="O33" s="36"/>
    </row>
    <row r="34" spans="1:15" x14ac:dyDescent="0.25">
      <c r="A34" s="25" t="s">
        <v>58</v>
      </c>
      <c r="B34" s="7" t="s">
        <v>52</v>
      </c>
      <c r="C34" s="2">
        <v>1</v>
      </c>
      <c r="D34" s="2">
        <v>10</v>
      </c>
      <c r="E34" s="24"/>
      <c r="F34" s="23">
        <v>1</v>
      </c>
      <c r="G34" s="172"/>
      <c r="H34" s="2">
        <v>1</v>
      </c>
      <c r="I34" s="2">
        <v>2</v>
      </c>
      <c r="J34" s="36"/>
      <c r="K34" s="42"/>
      <c r="L34" s="1"/>
      <c r="M34" s="24"/>
      <c r="N34" s="35"/>
      <c r="O34" s="36"/>
    </row>
    <row r="35" spans="1:15" x14ac:dyDescent="0.25">
      <c r="A35" s="25" t="s">
        <v>58</v>
      </c>
      <c r="B35" s="7" t="s">
        <v>52</v>
      </c>
      <c r="C35" s="2">
        <v>2</v>
      </c>
      <c r="D35" s="2">
        <v>6</v>
      </c>
      <c r="E35" s="24"/>
      <c r="F35" s="23">
        <v>1</v>
      </c>
      <c r="G35" s="172"/>
      <c r="H35" s="2">
        <v>1</v>
      </c>
      <c r="I35" s="2">
        <v>2</v>
      </c>
      <c r="J35" s="36"/>
      <c r="K35" s="42"/>
      <c r="L35" s="1"/>
      <c r="M35" s="24"/>
      <c r="N35" s="35"/>
      <c r="O35" s="36"/>
    </row>
    <row r="36" spans="1:15" x14ac:dyDescent="0.25">
      <c r="A36" s="25" t="s">
        <v>58</v>
      </c>
      <c r="B36" s="7" t="s">
        <v>52</v>
      </c>
      <c r="C36" s="2">
        <v>3</v>
      </c>
      <c r="D36" s="2">
        <v>6</v>
      </c>
      <c r="E36" s="24"/>
      <c r="F36" s="23">
        <v>1</v>
      </c>
      <c r="G36" s="172"/>
      <c r="H36" s="2">
        <v>1</v>
      </c>
      <c r="I36" s="2">
        <v>2</v>
      </c>
      <c r="J36" s="36"/>
      <c r="K36" s="42"/>
      <c r="L36" s="1"/>
      <c r="M36" s="24"/>
      <c r="N36" s="35"/>
      <c r="O36" s="36"/>
    </row>
    <row r="37" spans="1:15" x14ac:dyDescent="0.25">
      <c r="A37" s="25" t="s">
        <v>58</v>
      </c>
      <c r="B37" s="7" t="s">
        <v>52</v>
      </c>
      <c r="C37" s="2">
        <v>4</v>
      </c>
      <c r="D37" s="2">
        <v>6</v>
      </c>
      <c r="E37" s="24"/>
      <c r="F37" s="23">
        <v>1</v>
      </c>
      <c r="G37" s="172"/>
      <c r="H37" s="2">
        <v>1</v>
      </c>
      <c r="I37" s="2">
        <v>2</v>
      </c>
      <c r="J37" s="36"/>
      <c r="K37" s="42"/>
      <c r="L37" s="1"/>
      <c r="M37" s="24"/>
      <c r="N37" s="35"/>
      <c r="O37" s="36"/>
    </row>
    <row r="38" spans="1:15" x14ac:dyDescent="0.25">
      <c r="A38" s="25" t="s">
        <v>58</v>
      </c>
      <c r="B38" s="7" t="s">
        <v>52</v>
      </c>
      <c r="C38" s="2">
        <v>5</v>
      </c>
      <c r="D38" s="2">
        <v>6</v>
      </c>
      <c r="E38" s="24"/>
      <c r="F38" s="23">
        <v>1</v>
      </c>
      <c r="G38" s="172"/>
      <c r="H38" s="2">
        <v>1</v>
      </c>
      <c r="I38" s="2">
        <v>2</v>
      </c>
      <c r="J38" s="36"/>
      <c r="K38" s="42"/>
      <c r="L38" s="1"/>
      <c r="M38" s="24"/>
      <c r="N38" s="35"/>
      <c r="O38" s="36"/>
    </row>
    <row r="39" spans="1:15" x14ac:dyDescent="0.25">
      <c r="A39" s="25" t="s">
        <v>58</v>
      </c>
      <c r="B39" s="7" t="s">
        <v>52</v>
      </c>
      <c r="C39" s="2">
        <v>6</v>
      </c>
      <c r="D39" s="2">
        <v>4</v>
      </c>
      <c r="E39" s="24"/>
      <c r="F39" s="23">
        <v>1</v>
      </c>
      <c r="G39" s="172"/>
      <c r="H39" s="2">
        <v>1</v>
      </c>
      <c r="I39" s="2">
        <v>2</v>
      </c>
      <c r="J39" s="36"/>
      <c r="K39" s="42"/>
      <c r="L39" s="1"/>
      <c r="M39" s="24"/>
      <c r="N39" s="35"/>
      <c r="O39" s="36"/>
    </row>
    <row r="40" spans="1:15" x14ac:dyDescent="0.25">
      <c r="A40" s="25" t="s">
        <v>58</v>
      </c>
      <c r="B40" s="7" t="s">
        <v>52</v>
      </c>
      <c r="C40" s="2">
        <v>7</v>
      </c>
      <c r="D40" s="2">
        <v>4</v>
      </c>
      <c r="E40" s="24"/>
      <c r="F40" s="23">
        <v>1</v>
      </c>
      <c r="G40" s="172"/>
      <c r="H40" s="2">
        <v>1</v>
      </c>
      <c r="I40" s="2">
        <v>2</v>
      </c>
      <c r="J40" s="36"/>
      <c r="K40" s="42"/>
      <c r="L40" s="1"/>
      <c r="M40" s="24"/>
      <c r="N40" s="35"/>
      <c r="O40" s="36"/>
    </row>
    <row r="41" spans="1:15" x14ac:dyDescent="0.25">
      <c r="A41" s="25" t="s">
        <v>58</v>
      </c>
      <c r="B41" s="7" t="s">
        <v>52</v>
      </c>
      <c r="C41" s="2">
        <v>8</v>
      </c>
      <c r="D41" s="2">
        <v>4</v>
      </c>
      <c r="E41" s="24"/>
      <c r="F41" s="23">
        <v>1</v>
      </c>
      <c r="G41" s="172"/>
      <c r="H41" s="2">
        <v>1</v>
      </c>
      <c r="I41" s="2">
        <v>2</v>
      </c>
      <c r="J41" s="36"/>
      <c r="K41" s="42"/>
      <c r="L41" s="1"/>
      <c r="M41" s="24"/>
      <c r="N41" s="35"/>
      <c r="O41" s="36"/>
    </row>
    <row r="42" spans="1:15" x14ac:dyDescent="0.25">
      <c r="A42" s="25" t="s">
        <v>58</v>
      </c>
      <c r="B42" s="7" t="s">
        <v>52</v>
      </c>
      <c r="C42" s="2">
        <v>9</v>
      </c>
      <c r="D42" s="2">
        <v>4</v>
      </c>
      <c r="E42" s="24"/>
      <c r="F42" s="23">
        <v>1</v>
      </c>
      <c r="G42" s="172"/>
      <c r="H42" s="2">
        <v>1</v>
      </c>
      <c r="I42" s="2">
        <v>2</v>
      </c>
      <c r="J42" s="36"/>
      <c r="K42" s="42"/>
      <c r="L42" s="1"/>
      <c r="M42" s="24"/>
      <c r="N42" s="35"/>
      <c r="O42" s="36"/>
    </row>
    <row r="43" spans="1:15" x14ac:dyDescent="0.25">
      <c r="A43" s="25" t="s">
        <v>58</v>
      </c>
      <c r="B43" s="7" t="s">
        <v>52</v>
      </c>
      <c r="C43" s="2">
        <v>10</v>
      </c>
      <c r="D43" s="2">
        <v>4</v>
      </c>
      <c r="E43" s="24"/>
      <c r="F43" s="23">
        <v>1</v>
      </c>
      <c r="G43" s="172"/>
      <c r="H43" s="2">
        <v>1</v>
      </c>
      <c r="I43" s="2">
        <v>2</v>
      </c>
      <c r="J43" s="36"/>
      <c r="K43" s="42"/>
      <c r="L43" s="1"/>
      <c r="M43" s="24"/>
      <c r="N43" s="35"/>
      <c r="O43" s="36"/>
    </row>
    <row r="44" spans="1:15" x14ac:dyDescent="0.25">
      <c r="A44" s="25" t="s">
        <v>58</v>
      </c>
      <c r="B44" s="7" t="s">
        <v>52</v>
      </c>
      <c r="C44" s="2">
        <v>11</v>
      </c>
      <c r="D44" s="2">
        <v>4</v>
      </c>
      <c r="E44" s="24" t="s">
        <v>672</v>
      </c>
      <c r="F44" s="23">
        <v>1</v>
      </c>
      <c r="G44" s="172"/>
      <c r="H44" s="2">
        <v>1</v>
      </c>
      <c r="I44" s="2">
        <v>2</v>
      </c>
      <c r="J44" s="36"/>
      <c r="K44" s="42"/>
      <c r="L44" s="1"/>
      <c r="M44" s="24"/>
      <c r="N44" s="35"/>
      <c r="O44" s="36"/>
    </row>
    <row r="45" spans="1:15" x14ac:dyDescent="0.25">
      <c r="A45" s="25" t="s">
        <v>58</v>
      </c>
      <c r="B45" s="7" t="s">
        <v>52</v>
      </c>
      <c r="C45" s="2">
        <v>12</v>
      </c>
      <c r="D45" s="2">
        <v>4</v>
      </c>
      <c r="E45" s="24"/>
      <c r="F45" s="23">
        <v>1</v>
      </c>
      <c r="G45" s="172"/>
      <c r="H45" s="2">
        <v>1</v>
      </c>
      <c r="I45" s="2">
        <v>2</v>
      </c>
      <c r="J45" s="36"/>
      <c r="K45" s="42"/>
      <c r="L45" s="1"/>
      <c r="M45" s="24"/>
      <c r="N45" s="35"/>
      <c r="O45" s="36"/>
    </row>
    <row r="46" spans="1:15" x14ac:dyDescent="0.25">
      <c r="A46" s="25" t="s">
        <v>58</v>
      </c>
      <c r="B46" s="7" t="s">
        <v>52</v>
      </c>
      <c r="C46" s="2">
        <v>13</v>
      </c>
      <c r="D46" s="2">
        <v>4</v>
      </c>
      <c r="E46" s="24"/>
      <c r="F46" s="23">
        <v>1</v>
      </c>
      <c r="G46" s="172"/>
      <c r="H46" s="2">
        <v>1</v>
      </c>
      <c r="I46" s="2">
        <v>2</v>
      </c>
      <c r="J46" s="36"/>
      <c r="K46" s="42"/>
      <c r="L46" s="1"/>
      <c r="M46" s="24"/>
      <c r="N46" s="35"/>
      <c r="O46" s="36"/>
    </row>
    <row r="47" spans="1:15" x14ac:dyDescent="0.25">
      <c r="A47" s="25" t="s">
        <v>58</v>
      </c>
      <c r="B47" s="7" t="s">
        <v>52</v>
      </c>
      <c r="C47" s="2">
        <v>14</v>
      </c>
      <c r="D47" s="2">
        <v>4</v>
      </c>
      <c r="E47" s="24"/>
      <c r="F47" s="23">
        <v>1</v>
      </c>
      <c r="G47" s="172"/>
      <c r="H47" s="2">
        <v>1</v>
      </c>
      <c r="I47" s="2">
        <v>2</v>
      </c>
      <c r="J47" s="36"/>
      <c r="K47" s="42"/>
      <c r="L47" s="1"/>
      <c r="M47" s="24"/>
      <c r="N47" s="35"/>
      <c r="O47" s="36"/>
    </row>
    <row r="48" spans="1:15" x14ac:dyDescent="0.25">
      <c r="A48" s="25" t="s">
        <v>58</v>
      </c>
      <c r="B48" s="9" t="s">
        <v>53</v>
      </c>
      <c r="C48" s="2">
        <v>1</v>
      </c>
      <c r="D48" s="2">
        <v>14</v>
      </c>
      <c r="E48" s="24" t="s">
        <v>668</v>
      </c>
      <c r="F48" s="23">
        <v>1</v>
      </c>
      <c r="G48" s="172"/>
      <c r="H48" s="2">
        <v>1</v>
      </c>
      <c r="I48" s="2">
        <v>2</v>
      </c>
      <c r="J48" s="36"/>
      <c r="K48" s="42"/>
      <c r="L48" s="1"/>
      <c r="M48" s="24"/>
      <c r="N48" s="35"/>
      <c r="O48" s="36"/>
    </row>
    <row r="49" spans="1:15" x14ac:dyDescent="0.25">
      <c r="A49" s="25" t="s">
        <v>58</v>
      </c>
      <c r="B49" s="9" t="s">
        <v>53</v>
      </c>
      <c r="C49" s="2">
        <v>2</v>
      </c>
      <c r="D49" s="2">
        <v>10</v>
      </c>
      <c r="E49" s="24"/>
      <c r="F49" s="23">
        <v>1</v>
      </c>
      <c r="G49" s="172"/>
      <c r="H49" s="2">
        <v>1</v>
      </c>
      <c r="I49" s="2">
        <v>2</v>
      </c>
      <c r="J49" s="36"/>
      <c r="K49" s="42"/>
      <c r="L49" s="1"/>
      <c r="M49" s="24"/>
      <c r="N49" s="35"/>
      <c r="O49" s="36"/>
    </row>
    <row r="50" spans="1:15" x14ac:dyDescent="0.25">
      <c r="A50" s="25" t="s">
        <v>58</v>
      </c>
      <c r="B50" s="9" t="s">
        <v>53</v>
      </c>
      <c r="C50" s="2">
        <v>3</v>
      </c>
      <c r="D50" s="2">
        <v>6</v>
      </c>
      <c r="E50" s="24"/>
      <c r="F50" s="23">
        <v>1</v>
      </c>
      <c r="G50" s="172"/>
      <c r="H50" s="2">
        <v>1</v>
      </c>
      <c r="I50" s="2">
        <v>2</v>
      </c>
      <c r="J50" s="36"/>
      <c r="K50" s="42"/>
      <c r="L50" s="1"/>
      <c r="M50" s="24"/>
      <c r="N50" s="35"/>
      <c r="O50" s="36"/>
    </row>
    <row r="51" spans="1:15" x14ac:dyDescent="0.25">
      <c r="A51" s="25" t="s">
        <v>58</v>
      </c>
      <c r="B51" s="9" t="s">
        <v>53</v>
      </c>
      <c r="C51" s="2">
        <v>4</v>
      </c>
      <c r="D51" s="2">
        <v>4</v>
      </c>
      <c r="E51" s="24"/>
      <c r="F51" s="23">
        <v>1</v>
      </c>
      <c r="G51" s="172"/>
      <c r="H51" s="2">
        <v>1</v>
      </c>
      <c r="I51" s="2">
        <v>2</v>
      </c>
      <c r="J51" s="36"/>
      <c r="K51" s="42"/>
      <c r="L51" s="1"/>
      <c r="M51" s="24"/>
      <c r="N51" s="35"/>
      <c r="O51" s="36"/>
    </row>
    <row r="52" spans="1:15" x14ac:dyDescent="0.25">
      <c r="A52" s="25" t="s">
        <v>58</v>
      </c>
      <c r="B52" s="9" t="s">
        <v>53</v>
      </c>
      <c r="C52" s="2">
        <v>5</v>
      </c>
      <c r="D52" s="2">
        <v>4</v>
      </c>
      <c r="E52" s="24"/>
      <c r="F52" s="23">
        <v>1</v>
      </c>
      <c r="G52" s="172"/>
      <c r="H52" s="2">
        <v>1</v>
      </c>
      <c r="I52" s="2">
        <v>2</v>
      </c>
      <c r="J52" s="36"/>
      <c r="K52" s="42"/>
      <c r="L52" s="1"/>
      <c r="M52" s="24"/>
      <c r="N52" s="35"/>
      <c r="O52" s="36"/>
    </row>
    <row r="53" spans="1:15" x14ac:dyDescent="0.25">
      <c r="A53" s="25" t="s">
        <v>58</v>
      </c>
      <c r="B53" s="9" t="s">
        <v>53</v>
      </c>
      <c r="C53" s="2">
        <v>6</v>
      </c>
      <c r="D53" s="2">
        <v>4</v>
      </c>
      <c r="E53" s="24"/>
      <c r="F53" s="23">
        <v>1</v>
      </c>
      <c r="G53" s="172"/>
      <c r="H53" s="2">
        <v>1</v>
      </c>
      <c r="I53" s="2">
        <v>2</v>
      </c>
      <c r="J53" s="36"/>
      <c r="K53" s="42"/>
      <c r="L53" s="1"/>
      <c r="M53" s="24"/>
      <c r="N53" s="35"/>
      <c r="O53" s="36"/>
    </row>
    <row r="54" spans="1:15" x14ac:dyDescent="0.25">
      <c r="A54" s="25" t="s">
        <v>58</v>
      </c>
      <c r="B54" s="9" t="s">
        <v>53</v>
      </c>
      <c r="C54" s="2">
        <v>7</v>
      </c>
      <c r="D54" s="2">
        <v>4</v>
      </c>
      <c r="E54" s="24"/>
      <c r="F54" s="23">
        <v>1</v>
      </c>
      <c r="G54" s="172"/>
      <c r="H54" s="2">
        <v>1</v>
      </c>
      <c r="I54" s="2">
        <v>2</v>
      </c>
      <c r="J54" s="36"/>
      <c r="K54" s="42"/>
      <c r="L54" s="1"/>
      <c r="M54" s="24"/>
      <c r="N54" s="35"/>
      <c r="O54" s="36"/>
    </row>
    <row r="55" spans="1:15" x14ac:dyDescent="0.25">
      <c r="A55" s="25" t="s">
        <v>58</v>
      </c>
      <c r="B55" s="9" t="s">
        <v>53</v>
      </c>
      <c r="C55" s="2">
        <v>8</v>
      </c>
      <c r="D55" s="2">
        <v>4</v>
      </c>
      <c r="E55" s="24"/>
      <c r="F55" s="23">
        <v>1</v>
      </c>
      <c r="G55" s="172"/>
      <c r="H55" s="2">
        <v>1</v>
      </c>
      <c r="I55" s="2">
        <v>2</v>
      </c>
      <c r="J55" s="36"/>
      <c r="K55" s="42"/>
      <c r="L55" s="1"/>
      <c r="M55" s="24"/>
      <c r="N55" s="35"/>
      <c r="O55" s="36"/>
    </row>
    <row r="56" spans="1:15" x14ac:dyDescent="0.25">
      <c r="A56" s="25" t="s">
        <v>58</v>
      </c>
      <c r="B56" s="9" t="s">
        <v>53</v>
      </c>
      <c r="C56" s="2">
        <v>9</v>
      </c>
      <c r="D56" s="2">
        <v>4</v>
      </c>
      <c r="E56" s="24"/>
      <c r="F56" s="23">
        <v>1</v>
      </c>
      <c r="G56" s="172"/>
      <c r="H56" s="2">
        <v>1</v>
      </c>
      <c r="I56" s="2">
        <v>2</v>
      </c>
      <c r="J56" s="36"/>
      <c r="K56" s="42"/>
      <c r="L56" s="1"/>
      <c r="M56" s="24"/>
      <c r="N56" s="35"/>
      <c r="O56" s="36"/>
    </row>
    <row r="57" spans="1:15" x14ac:dyDescent="0.25">
      <c r="A57" s="25" t="s">
        <v>58</v>
      </c>
      <c r="B57" s="9" t="s">
        <v>53</v>
      </c>
      <c r="C57" s="2">
        <v>10</v>
      </c>
      <c r="D57" s="2">
        <v>4</v>
      </c>
      <c r="E57" s="24"/>
      <c r="F57" s="23">
        <v>1</v>
      </c>
      <c r="G57" s="172"/>
      <c r="H57" s="2">
        <v>1</v>
      </c>
      <c r="I57" s="2">
        <v>2</v>
      </c>
      <c r="J57" s="36"/>
      <c r="K57" s="42"/>
      <c r="L57" s="1"/>
      <c r="M57" s="24"/>
      <c r="N57" s="35"/>
      <c r="O57" s="36"/>
    </row>
    <row r="58" spans="1:15" x14ac:dyDescent="0.25">
      <c r="A58" s="25" t="s">
        <v>58</v>
      </c>
      <c r="B58" s="9" t="s">
        <v>53</v>
      </c>
      <c r="C58" s="2">
        <v>11</v>
      </c>
      <c r="D58" s="2">
        <v>4</v>
      </c>
      <c r="E58" s="24"/>
      <c r="F58" s="23">
        <v>1</v>
      </c>
      <c r="G58" s="172"/>
      <c r="H58" s="2">
        <v>1</v>
      </c>
      <c r="I58" s="2">
        <v>2</v>
      </c>
      <c r="J58" s="36"/>
      <c r="K58" s="42"/>
      <c r="L58" s="1"/>
      <c r="M58" s="24"/>
      <c r="N58" s="35"/>
      <c r="O58" s="36"/>
    </row>
    <row r="59" spans="1:15" x14ac:dyDescent="0.25">
      <c r="A59" s="25" t="s">
        <v>58</v>
      </c>
      <c r="B59" s="9" t="s">
        <v>53</v>
      </c>
      <c r="C59" s="2">
        <v>12</v>
      </c>
      <c r="D59" s="2">
        <v>4</v>
      </c>
      <c r="E59" s="24"/>
      <c r="F59" s="23">
        <v>1</v>
      </c>
      <c r="G59" s="172"/>
      <c r="H59" s="2">
        <v>1</v>
      </c>
      <c r="I59" s="2">
        <v>2</v>
      </c>
      <c r="J59" s="36"/>
      <c r="K59" s="42"/>
      <c r="L59" s="1"/>
      <c r="M59" s="24"/>
      <c r="N59" s="35"/>
      <c r="O59" s="36"/>
    </row>
    <row r="60" spans="1:15" x14ac:dyDescent="0.25">
      <c r="A60" s="25" t="s">
        <v>58</v>
      </c>
      <c r="B60" s="9" t="s">
        <v>53</v>
      </c>
      <c r="C60" s="2">
        <v>13</v>
      </c>
      <c r="D60" s="2">
        <v>4</v>
      </c>
      <c r="E60" s="24"/>
      <c r="F60" s="23">
        <v>1</v>
      </c>
      <c r="G60" s="172"/>
      <c r="H60" s="2">
        <v>1</v>
      </c>
      <c r="I60" s="2">
        <v>2</v>
      </c>
      <c r="J60" s="36"/>
      <c r="K60" s="42"/>
      <c r="L60" s="1"/>
      <c r="M60" s="24"/>
      <c r="N60" s="35"/>
      <c r="O60" s="36"/>
    </row>
    <row r="61" spans="1:15" x14ac:dyDescent="0.25">
      <c r="A61" s="25" t="s">
        <v>58</v>
      </c>
      <c r="B61" s="9" t="s">
        <v>53</v>
      </c>
      <c r="C61" s="2">
        <v>14</v>
      </c>
      <c r="D61" s="2">
        <v>4</v>
      </c>
      <c r="E61" s="24"/>
      <c r="F61" s="23">
        <v>1</v>
      </c>
      <c r="G61" s="172"/>
      <c r="H61" s="2">
        <v>1</v>
      </c>
      <c r="I61" s="2">
        <v>2</v>
      </c>
      <c r="J61" s="36"/>
      <c r="K61" s="42"/>
      <c r="L61" s="1"/>
      <c r="M61" s="24"/>
      <c r="N61" s="35"/>
      <c r="O61" s="36"/>
    </row>
    <row r="62" spans="1:15" x14ac:dyDescent="0.25">
      <c r="A62" s="25" t="s">
        <v>58</v>
      </c>
      <c r="B62" s="9" t="s">
        <v>53</v>
      </c>
      <c r="C62" s="2">
        <v>15</v>
      </c>
      <c r="D62" s="2">
        <v>4</v>
      </c>
      <c r="E62" s="24" t="s">
        <v>667</v>
      </c>
      <c r="F62" s="23">
        <v>1</v>
      </c>
      <c r="G62" s="172"/>
      <c r="H62" s="2">
        <v>1</v>
      </c>
      <c r="I62" s="2">
        <v>2</v>
      </c>
      <c r="J62" s="36"/>
      <c r="K62" s="42"/>
      <c r="L62" s="1"/>
      <c r="M62" s="24"/>
      <c r="N62" s="35"/>
      <c r="O62" s="36"/>
    </row>
    <row r="63" spans="1:15" x14ac:dyDescent="0.25">
      <c r="A63" s="26" t="s">
        <v>57</v>
      </c>
      <c r="B63" s="7" t="s">
        <v>54</v>
      </c>
      <c r="C63" s="2">
        <v>1</v>
      </c>
      <c r="D63" s="2">
        <v>4</v>
      </c>
      <c r="E63" s="24" t="s">
        <v>667</v>
      </c>
      <c r="F63" s="23">
        <v>1</v>
      </c>
      <c r="G63" s="172"/>
      <c r="H63" s="2">
        <v>1</v>
      </c>
      <c r="I63" s="2">
        <v>2</v>
      </c>
      <c r="J63" s="36"/>
      <c r="K63" s="42"/>
      <c r="L63" s="1"/>
      <c r="M63" s="24"/>
      <c r="N63" s="35"/>
      <c r="O63" s="36"/>
    </row>
    <row r="64" spans="1:15" x14ac:dyDescent="0.25">
      <c r="A64" s="26" t="s">
        <v>57</v>
      </c>
      <c r="B64" s="7" t="s">
        <v>54</v>
      </c>
      <c r="C64" s="2">
        <v>2</v>
      </c>
      <c r="D64" s="2">
        <v>4</v>
      </c>
      <c r="E64" s="24" t="s">
        <v>675</v>
      </c>
      <c r="F64" s="23">
        <v>1</v>
      </c>
      <c r="G64" s="172"/>
      <c r="H64" s="2">
        <v>1</v>
      </c>
      <c r="I64" s="2">
        <v>2</v>
      </c>
      <c r="J64" s="36"/>
      <c r="K64" s="42"/>
      <c r="L64" s="1"/>
      <c r="M64" s="24"/>
      <c r="N64" s="35"/>
      <c r="O64" s="36"/>
    </row>
    <row r="65" spans="1:28" x14ac:dyDescent="0.25">
      <c r="A65" s="26" t="s">
        <v>57</v>
      </c>
      <c r="B65" s="7" t="s">
        <v>54</v>
      </c>
      <c r="C65" s="2">
        <v>3</v>
      </c>
      <c r="D65" s="2">
        <v>4</v>
      </c>
      <c r="E65" s="24"/>
      <c r="F65" s="23">
        <v>1</v>
      </c>
      <c r="G65" s="172"/>
      <c r="H65" s="2">
        <v>1</v>
      </c>
      <c r="I65" s="2">
        <v>2</v>
      </c>
      <c r="J65" s="36"/>
      <c r="K65" s="42"/>
      <c r="L65" s="1"/>
      <c r="M65" s="24"/>
      <c r="N65" s="35"/>
      <c r="O65" s="36"/>
    </row>
    <row r="66" spans="1:28" x14ac:dyDescent="0.25">
      <c r="A66" s="26" t="s">
        <v>57</v>
      </c>
      <c r="B66" s="7" t="s">
        <v>54</v>
      </c>
      <c r="C66" s="2">
        <v>4</v>
      </c>
      <c r="D66" s="2">
        <v>4</v>
      </c>
      <c r="E66" s="24"/>
      <c r="F66" s="23">
        <v>1</v>
      </c>
      <c r="G66" s="172"/>
      <c r="H66" s="2">
        <v>1</v>
      </c>
      <c r="I66" s="2">
        <v>2</v>
      </c>
      <c r="J66" s="36"/>
      <c r="K66" s="42"/>
      <c r="L66" s="1"/>
      <c r="M66" s="24"/>
      <c r="N66" s="35"/>
      <c r="O66" s="36"/>
    </row>
    <row r="67" spans="1:28" x14ac:dyDescent="0.25">
      <c r="A67" s="26" t="s">
        <v>57</v>
      </c>
      <c r="B67" s="7" t="s">
        <v>54</v>
      </c>
      <c r="C67" s="2">
        <v>5</v>
      </c>
      <c r="D67" s="2">
        <v>4</v>
      </c>
      <c r="E67" s="24"/>
      <c r="F67" s="23">
        <v>1</v>
      </c>
      <c r="G67" s="172"/>
      <c r="H67" s="2">
        <v>1</v>
      </c>
      <c r="I67" s="2">
        <v>2</v>
      </c>
      <c r="J67" s="36"/>
      <c r="K67" s="42"/>
      <c r="L67" s="1"/>
      <c r="M67" s="24"/>
      <c r="N67" s="35"/>
      <c r="O67" s="36"/>
    </row>
    <row r="68" spans="1:28" x14ac:dyDescent="0.25">
      <c r="A68" s="26" t="s">
        <v>57</v>
      </c>
      <c r="B68" s="7" t="s">
        <v>54</v>
      </c>
      <c r="C68" s="2">
        <v>6</v>
      </c>
      <c r="D68" s="2">
        <v>4</v>
      </c>
      <c r="E68" s="24"/>
      <c r="F68" s="23">
        <v>1</v>
      </c>
      <c r="G68" s="172"/>
      <c r="H68" s="2">
        <v>1</v>
      </c>
      <c r="I68" s="2">
        <v>2</v>
      </c>
      <c r="J68" s="36"/>
      <c r="K68" s="42"/>
      <c r="L68" s="1"/>
      <c r="M68" s="24"/>
      <c r="N68" s="35"/>
      <c r="O68" s="36"/>
    </row>
    <row r="69" spans="1:28" x14ac:dyDescent="0.25">
      <c r="A69" s="26" t="s">
        <v>57</v>
      </c>
      <c r="B69" s="7" t="s">
        <v>54</v>
      </c>
      <c r="C69" s="2">
        <v>7</v>
      </c>
      <c r="D69" s="2">
        <v>4</v>
      </c>
      <c r="E69" s="24"/>
      <c r="F69" s="23">
        <v>1</v>
      </c>
      <c r="G69" s="172"/>
      <c r="H69" s="2">
        <v>1</v>
      </c>
      <c r="I69" s="2">
        <v>2</v>
      </c>
      <c r="J69" s="36"/>
      <c r="K69" s="42"/>
      <c r="L69" s="1"/>
      <c r="M69" s="24"/>
      <c r="N69" s="35"/>
      <c r="O69" s="36"/>
    </row>
    <row r="70" spans="1:28" x14ac:dyDescent="0.25">
      <c r="A70" s="26" t="s">
        <v>57</v>
      </c>
      <c r="B70" s="7" t="s">
        <v>54</v>
      </c>
      <c r="C70" s="2">
        <v>8</v>
      </c>
      <c r="D70" s="2">
        <v>4</v>
      </c>
      <c r="E70" s="24"/>
      <c r="F70" s="23">
        <v>1</v>
      </c>
      <c r="G70" s="172"/>
      <c r="H70" s="2">
        <v>1</v>
      </c>
      <c r="I70" s="2">
        <v>2</v>
      </c>
      <c r="J70" s="36"/>
      <c r="K70" s="42"/>
      <c r="L70" s="1"/>
      <c r="M70" s="24"/>
      <c r="N70" s="35"/>
      <c r="O70" s="36"/>
    </row>
    <row r="71" spans="1:28" x14ac:dyDescent="0.25">
      <c r="A71" s="26" t="s">
        <v>57</v>
      </c>
      <c r="B71" s="7" t="s">
        <v>54</v>
      </c>
      <c r="C71" s="2">
        <v>9</v>
      </c>
      <c r="D71" s="2">
        <v>4</v>
      </c>
      <c r="E71" s="24"/>
      <c r="F71" s="23">
        <v>1</v>
      </c>
      <c r="G71" s="172"/>
      <c r="H71" s="2">
        <v>1</v>
      </c>
      <c r="I71" s="2">
        <v>2</v>
      </c>
      <c r="J71" s="36"/>
      <c r="K71" s="42"/>
      <c r="L71" s="1"/>
      <c r="M71" s="24"/>
      <c r="N71" s="35"/>
      <c r="O71" s="36"/>
    </row>
    <row r="72" spans="1:28" x14ac:dyDescent="0.25">
      <c r="A72" s="26" t="s">
        <v>57</v>
      </c>
      <c r="B72" s="7" t="s">
        <v>54</v>
      </c>
      <c r="C72" s="2">
        <v>10</v>
      </c>
      <c r="D72" s="2">
        <v>4</v>
      </c>
      <c r="E72" s="24"/>
      <c r="F72" s="23">
        <v>1</v>
      </c>
      <c r="G72" s="172"/>
      <c r="H72" s="2">
        <v>1</v>
      </c>
      <c r="I72" s="2">
        <v>2</v>
      </c>
      <c r="J72" s="36"/>
      <c r="K72" s="42"/>
      <c r="L72" s="1"/>
      <c r="M72" s="24"/>
      <c r="N72" s="35"/>
      <c r="O72" s="36"/>
    </row>
    <row r="73" spans="1:28" x14ac:dyDescent="0.25">
      <c r="A73" s="26" t="s">
        <v>57</v>
      </c>
      <c r="B73" s="7" t="s">
        <v>54</v>
      </c>
      <c r="C73" s="2">
        <v>11</v>
      </c>
      <c r="D73" s="2">
        <v>4</v>
      </c>
      <c r="E73" s="24"/>
      <c r="F73" s="23">
        <v>1</v>
      </c>
      <c r="G73" s="172"/>
      <c r="H73" s="2">
        <v>1</v>
      </c>
      <c r="I73" s="2">
        <v>2</v>
      </c>
      <c r="J73" s="36"/>
      <c r="K73" s="42"/>
      <c r="L73" s="1"/>
      <c r="M73" s="24"/>
      <c r="N73" s="35"/>
      <c r="O73" s="36"/>
    </row>
    <row r="74" spans="1:28" x14ac:dyDescent="0.25">
      <c r="A74" s="26" t="s">
        <v>57</v>
      </c>
      <c r="B74" s="7" t="s">
        <v>54</v>
      </c>
      <c r="C74" s="2">
        <v>12</v>
      </c>
      <c r="D74" s="2">
        <v>4</v>
      </c>
      <c r="E74" s="24"/>
      <c r="F74" s="23">
        <v>1</v>
      </c>
      <c r="G74" s="172"/>
      <c r="H74" s="2">
        <v>1</v>
      </c>
      <c r="I74" s="2">
        <v>2</v>
      </c>
      <c r="J74" s="36"/>
      <c r="K74" s="42"/>
      <c r="L74" s="1"/>
      <c r="M74" s="24"/>
      <c r="N74" s="35"/>
      <c r="O74" s="36"/>
    </row>
    <row r="75" spans="1:28" s="157" customFormat="1" x14ac:dyDescent="0.25">
      <c r="A75" s="26" t="s">
        <v>60</v>
      </c>
      <c r="B75" s="7" t="s">
        <v>55</v>
      </c>
      <c r="C75" s="2">
        <v>14</v>
      </c>
      <c r="D75" s="2">
        <v>4</v>
      </c>
      <c r="E75" s="24" t="s">
        <v>677</v>
      </c>
      <c r="F75" s="23">
        <v>1</v>
      </c>
      <c r="G75" s="172"/>
      <c r="H75" s="2">
        <v>1</v>
      </c>
      <c r="I75" s="2">
        <v>2</v>
      </c>
      <c r="J75" s="36"/>
      <c r="K75" s="42"/>
      <c r="L75" s="1"/>
      <c r="M75" s="24"/>
      <c r="N75" s="35"/>
      <c r="O75" s="3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s="10" customFormat="1" x14ac:dyDescent="0.25">
      <c r="A76" s="25" t="s">
        <v>60</v>
      </c>
      <c r="B76" s="9" t="s">
        <v>55</v>
      </c>
      <c r="C76" s="9">
        <v>1</v>
      </c>
      <c r="D76" s="9">
        <v>4</v>
      </c>
      <c r="E76" s="24" t="s">
        <v>676</v>
      </c>
      <c r="F76" s="28">
        <v>1</v>
      </c>
      <c r="G76" s="173"/>
      <c r="H76" s="9">
        <v>1</v>
      </c>
      <c r="I76" s="9">
        <v>2</v>
      </c>
      <c r="J76" s="36"/>
      <c r="K76" s="43"/>
      <c r="L76" s="11"/>
      <c r="M76" s="27"/>
      <c r="N76" s="35"/>
      <c r="O76" s="3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s="10" customFormat="1" x14ac:dyDescent="0.25">
      <c r="A77" s="25" t="s">
        <v>60</v>
      </c>
      <c r="B77" s="9" t="s">
        <v>55</v>
      </c>
      <c r="C77" s="9">
        <v>2</v>
      </c>
      <c r="D77" s="9">
        <v>4</v>
      </c>
      <c r="E77" s="27"/>
      <c r="F77" s="28">
        <v>1</v>
      </c>
      <c r="G77" s="173"/>
      <c r="H77" s="9">
        <v>1</v>
      </c>
      <c r="I77" s="9">
        <v>2</v>
      </c>
      <c r="J77" s="36"/>
      <c r="K77" s="43"/>
      <c r="L77" s="11"/>
      <c r="M77" s="27"/>
      <c r="N77" s="35"/>
      <c r="O77" s="3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s="10" customFormat="1" x14ac:dyDescent="0.25">
      <c r="A78" s="25" t="s">
        <v>60</v>
      </c>
      <c r="B78" s="9" t="s">
        <v>55</v>
      </c>
      <c r="C78" s="9">
        <v>3</v>
      </c>
      <c r="D78" s="9">
        <v>4</v>
      </c>
      <c r="E78" s="24" t="s">
        <v>667</v>
      </c>
      <c r="F78" s="28">
        <v>1</v>
      </c>
      <c r="G78" s="173"/>
      <c r="H78" s="9">
        <v>1</v>
      </c>
      <c r="I78" s="9">
        <v>2</v>
      </c>
      <c r="J78" s="36"/>
      <c r="K78" s="43"/>
      <c r="L78" s="11"/>
      <c r="M78" s="27"/>
      <c r="N78" s="35"/>
      <c r="O78" s="3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s="10" customFormat="1" x14ac:dyDescent="0.25">
      <c r="A79" s="25" t="s">
        <v>60</v>
      </c>
      <c r="B79" s="9" t="s">
        <v>55</v>
      </c>
      <c r="C79" s="9">
        <v>4</v>
      </c>
      <c r="D79" s="9">
        <v>4</v>
      </c>
      <c r="E79" s="27"/>
      <c r="F79" s="28">
        <v>1</v>
      </c>
      <c r="G79" s="173"/>
      <c r="H79" s="9">
        <v>1</v>
      </c>
      <c r="I79" s="9">
        <v>2</v>
      </c>
      <c r="J79" s="36"/>
      <c r="K79" s="43"/>
      <c r="L79" s="11"/>
      <c r="M79" s="27"/>
      <c r="N79" s="35"/>
      <c r="O79" s="3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s="10" customFormat="1" x14ac:dyDescent="0.25">
      <c r="A80" s="25" t="s">
        <v>60</v>
      </c>
      <c r="B80" s="9" t="s">
        <v>55</v>
      </c>
      <c r="C80" s="9">
        <v>5</v>
      </c>
      <c r="D80" s="9">
        <v>4</v>
      </c>
      <c r="E80" s="27"/>
      <c r="F80" s="28">
        <v>1</v>
      </c>
      <c r="G80" s="173"/>
      <c r="H80" s="9">
        <v>1</v>
      </c>
      <c r="I80" s="9">
        <v>2</v>
      </c>
      <c r="J80" s="36"/>
      <c r="K80" s="43"/>
      <c r="L80" s="11"/>
      <c r="M80" s="27"/>
      <c r="N80" s="35"/>
      <c r="O80" s="3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s="10" customFormat="1" x14ac:dyDescent="0.25">
      <c r="A81" s="25" t="s">
        <v>60</v>
      </c>
      <c r="B81" s="9" t="s">
        <v>55</v>
      </c>
      <c r="C81" s="9">
        <v>6</v>
      </c>
      <c r="D81" s="9">
        <v>4</v>
      </c>
      <c r="E81" s="27"/>
      <c r="F81" s="28">
        <v>1</v>
      </c>
      <c r="G81" s="173"/>
      <c r="H81" s="9">
        <v>1</v>
      </c>
      <c r="I81" s="9">
        <v>2</v>
      </c>
      <c r="J81" s="36"/>
      <c r="K81" s="43"/>
      <c r="L81" s="11"/>
      <c r="M81" s="27"/>
      <c r="N81" s="35"/>
      <c r="O81" s="3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s="10" customFormat="1" x14ac:dyDescent="0.25">
      <c r="A82" s="25" t="s">
        <v>60</v>
      </c>
      <c r="B82" s="9" t="s">
        <v>55</v>
      </c>
      <c r="C82" s="9">
        <v>7</v>
      </c>
      <c r="D82" s="9">
        <v>4</v>
      </c>
      <c r="E82" s="27"/>
      <c r="F82" s="28">
        <v>1</v>
      </c>
      <c r="G82" s="173"/>
      <c r="H82" s="9">
        <v>1</v>
      </c>
      <c r="I82" s="9">
        <v>2</v>
      </c>
      <c r="J82" s="36"/>
      <c r="K82" s="43"/>
      <c r="L82" s="11"/>
      <c r="M82" s="27"/>
      <c r="N82" s="35"/>
      <c r="O82" s="3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s="10" customFormat="1" x14ac:dyDescent="0.25">
      <c r="A83" s="25" t="s">
        <v>60</v>
      </c>
      <c r="B83" s="9" t="s">
        <v>55</v>
      </c>
      <c r="C83" s="9">
        <v>8</v>
      </c>
      <c r="D83" s="9">
        <v>4</v>
      </c>
      <c r="E83" s="27"/>
      <c r="F83" s="28">
        <v>1</v>
      </c>
      <c r="G83" s="173"/>
      <c r="H83" s="9">
        <v>1</v>
      </c>
      <c r="I83" s="9">
        <v>2</v>
      </c>
      <c r="J83" s="36"/>
      <c r="K83" s="43"/>
      <c r="L83" s="11"/>
      <c r="M83" s="27"/>
      <c r="N83" s="35"/>
      <c r="O83" s="3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s="10" customFormat="1" x14ac:dyDescent="0.25">
      <c r="A84" s="25" t="s">
        <v>60</v>
      </c>
      <c r="B84" s="9" t="s">
        <v>55</v>
      </c>
      <c r="C84" s="9">
        <v>9</v>
      </c>
      <c r="D84" s="9">
        <v>4</v>
      </c>
      <c r="E84" s="27"/>
      <c r="F84" s="28">
        <v>1</v>
      </c>
      <c r="G84" s="173"/>
      <c r="H84" s="9">
        <v>1</v>
      </c>
      <c r="I84" s="9">
        <v>2</v>
      </c>
      <c r="J84" s="36"/>
      <c r="K84" s="43"/>
      <c r="L84" s="11"/>
      <c r="M84" s="27"/>
      <c r="N84" s="35"/>
      <c r="O84" s="3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s="10" customFormat="1" x14ac:dyDescent="0.25">
      <c r="A85" s="25" t="s">
        <v>60</v>
      </c>
      <c r="B85" s="9" t="s">
        <v>55</v>
      </c>
      <c r="C85" s="9">
        <v>10</v>
      </c>
      <c r="D85" s="9">
        <v>4</v>
      </c>
      <c r="E85" s="27"/>
      <c r="F85" s="28">
        <v>1</v>
      </c>
      <c r="G85" s="173"/>
      <c r="H85" s="9">
        <v>1</v>
      </c>
      <c r="I85" s="9">
        <v>2</v>
      </c>
      <c r="J85" s="36"/>
      <c r="K85" s="43"/>
      <c r="L85" s="11"/>
      <c r="M85" s="27"/>
      <c r="N85" s="35"/>
      <c r="O85" s="3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s="10" customFormat="1" x14ac:dyDescent="0.25">
      <c r="A86" s="25" t="s">
        <v>60</v>
      </c>
      <c r="B86" s="9" t="s">
        <v>55</v>
      </c>
      <c r="C86" s="9">
        <v>11</v>
      </c>
      <c r="D86" s="9">
        <v>4</v>
      </c>
      <c r="E86" s="24" t="s">
        <v>673</v>
      </c>
      <c r="F86" s="28">
        <v>1</v>
      </c>
      <c r="G86" s="173"/>
      <c r="H86" s="9">
        <v>1</v>
      </c>
      <c r="I86" s="9">
        <v>2</v>
      </c>
      <c r="J86" s="36"/>
      <c r="K86" s="43"/>
      <c r="L86" s="11"/>
      <c r="M86" s="27"/>
      <c r="N86" s="35"/>
      <c r="O86" s="3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s="10" customFormat="1" x14ac:dyDescent="0.25">
      <c r="A87" s="25" t="s">
        <v>60</v>
      </c>
      <c r="B87" s="9" t="s">
        <v>55</v>
      </c>
      <c r="C87" s="9">
        <v>12</v>
      </c>
      <c r="D87" s="9">
        <v>4</v>
      </c>
      <c r="E87" s="27"/>
      <c r="F87" s="28">
        <v>1</v>
      </c>
      <c r="G87" s="173"/>
      <c r="H87" s="9">
        <v>1</v>
      </c>
      <c r="I87" s="9">
        <v>2</v>
      </c>
      <c r="J87" s="36"/>
      <c r="K87" s="43"/>
      <c r="L87" s="11"/>
      <c r="M87" s="27"/>
      <c r="N87" s="35"/>
      <c r="O87" s="3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s="10" customFormat="1" x14ac:dyDescent="0.25">
      <c r="A88" s="25" t="s">
        <v>60</v>
      </c>
      <c r="B88" s="9" t="s">
        <v>55</v>
      </c>
      <c r="C88" s="9">
        <v>13</v>
      </c>
      <c r="D88" s="9">
        <v>4</v>
      </c>
      <c r="E88" s="24" t="s">
        <v>674</v>
      </c>
      <c r="F88" s="28">
        <v>1</v>
      </c>
      <c r="G88" s="173"/>
      <c r="H88" s="9">
        <v>1</v>
      </c>
      <c r="I88" s="9">
        <v>2</v>
      </c>
      <c r="J88" s="36"/>
      <c r="K88" s="43"/>
      <c r="L88" s="11"/>
      <c r="M88" s="27"/>
      <c r="N88" s="35"/>
      <c r="O88" s="3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s="10" customFormat="1" x14ac:dyDescent="0.25">
      <c r="A89" s="25" t="s">
        <v>60</v>
      </c>
      <c r="B89" s="9" t="s">
        <v>55</v>
      </c>
      <c r="C89" s="9">
        <v>14</v>
      </c>
      <c r="D89" s="9">
        <v>4</v>
      </c>
      <c r="E89" s="27"/>
      <c r="F89" s="28">
        <v>1</v>
      </c>
      <c r="G89" s="173"/>
      <c r="H89" s="9">
        <v>1</v>
      </c>
      <c r="I89" s="9">
        <v>2</v>
      </c>
      <c r="J89" s="36"/>
      <c r="K89" s="43"/>
      <c r="L89" s="11"/>
      <c r="M89" s="27"/>
      <c r="N89" s="35"/>
      <c r="O89" s="3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s="10" customFormat="1" x14ac:dyDescent="0.25">
      <c r="A90" s="26" t="s">
        <v>59</v>
      </c>
      <c r="B90" s="7" t="s">
        <v>61</v>
      </c>
      <c r="C90" s="9">
        <v>1</v>
      </c>
      <c r="D90" s="9">
        <v>4</v>
      </c>
      <c r="E90" s="27"/>
      <c r="F90" s="28">
        <v>1</v>
      </c>
      <c r="G90" s="173"/>
      <c r="H90" s="9">
        <v>1</v>
      </c>
      <c r="I90" s="9">
        <v>2</v>
      </c>
      <c r="J90" s="36"/>
      <c r="K90" s="43"/>
      <c r="L90" s="11"/>
      <c r="M90" s="27"/>
      <c r="N90" s="35"/>
      <c r="O90" s="3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s="10" customFormat="1" x14ac:dyDescent="0.25">
      <c r="A91" s="26" t="s">
        <v>59</v>
      </c>
      <c r="B91" s="7" t="s">
        <v>61</v>
      </c>
      <c r="C91" s="9">
        <v>2</v>
      </c>
      <c r="D91" s="9">
        <v>4</v>
      </c>
      <c r="E91" s="27"/>
      <c r="F91" s="28">
        <v>1</v>
      </c>
      <c r="G91" s="173"/>
      <c r="H91" s="9">
        <v>1</v>
      </c>
      <c r="I91" s="9">
        <v>2</v>
      </c>
      <c r="J91" s="36"/>
      <c r="K91" s="43"/>
      <c r="L91" s="11"/>
      <c r="M91" s="27"/>
      <c r="N91" s="35"/>
      <c r="O91" s="3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s="10" customFormat="1" x14ac:dyDescent="0.25">
      <c r="A92" s="26" t="s">
        <v>59</v>
      </c>
      <c r="B92" s="7" t="s">
        <v>61</v>
      </c>
      <c r="C92" s="9">
        <v>3</v>
      </c>
      <c r="D92" s="9">
        <v>4</v>
      </c>
      <c r="E92" s="27"/>
      <c r="F92" s="28">
        <v>1</v>
      </c>
      <c r="G92" s="173"/>
      <c r="H92" s="9">
        <v>1</v>
      </c>
      <c r="I92" s="9">
        <v>2</v>
      </c>
      <c r="J92" s="36"/>
      <c r="K92" s="43"/>
      <c r="L92" s="11"/>
      <c r="M92" s="27"/>
      <c r="N92" s="35"/>
      <c r="O92" s="3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s="10" customFormat="1" x14ac:dyDescent="0.25">
      <c r="A93" s="26" t="s">
        <v>59</v>
      </c>
      <c r="B93" s="7" t="s">
        <v>61</v>
      </c>
      <c r="C93" s="9">
        <v>4</v>
      </c>
      <c r="D93" s="9">
        <v>4</v>
      </c>
      <c r="E93" s="27"/>
      <c r="F93" s="28">
        <v>1</v>
      </c>
      <c r="G93" s="173"/>
      <c r="H93" s="9">
        <v>1</v>
      </c>
      <c r="I93" s="9">
        <v>2</v>
      </c>
      <c r="J93" s="36"/>
      <c r="K93" s="43"/>
      <c r="L93" s="11"/>
      <c r="M93" s="27"/>
      <c r="N93" s="35"/>
      <c r="O93" s="3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s="10" customFormat="1" x14ac:dyDescent="0.25">
      <c r="A94" s="26" t="s">
        <v>59</v>
      </c>
      <c r="B94" s="7" t="s">
        <v>61</v>
      </c>
      <c r="C94" s="9">
        <v>5</v>
      </c>
      <c r="D94" s="9">
        <v>4</v>
      </c>
      <c r="E94" s="27"/>
      <c r="F94" s="28">
        <v>1</v>
      </c>
      <c r="G94" s="173"/>
      <c r="H94" s="9">
        <v>1</v>
      </c>
      <c r="I94" s="9">
        <v>2</v>
      </c>
      <c r="J94" s="36"/>
      <c r="K94" s="43"/>
      <c r="L94" s="11"/>
      <c r="M94" s="27"/>
      <c r="N94" s="35"/>
      <c r="O94" s="3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s="10" customFormat="1" x14ac:dyDescent="0.25">
      <c r="A95" s="26" t="s">
        <v>59</v>
      </c>
      <c r="B95" s="7" t="s">
        <v>61</v>
      </c>
      <c r="C95" s="9">
        <v>6</v>
      </c>
      <c r="D95" s="9">
        <v>4</v>
      </c>
      <c r="E95" s="24" t="s">
        <v>682</v>
      </c>
      <c r="F95" s="28">
        <v>1</v>
      </c>
      <c r="G95" s="173"/>
      <c r="H95" s="9">
        <v>1</v>
      </c>
      <c r="I95" s="9">
        <v>2</v>
      </c>
      <c r="J95" s="36"/>
      <c r="K95" s="43"/>
      <c r="L95" s="11"/>
      <c r="M95" s="27"/>
      <c r="N95" s="35"/>
      <c r="O95" s="3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x14ac:dyDescent="0.25">
      <c r="A96" s="26" t="s">
        <v>59</v>
      </c>
      <c r="B96" s="7" t="s">
        <v>61</v>
      </c>
      <c r="C96" s="9">
        <v>7</v>
      </c>
      <c r="D96" s="9">
        <v>4</v>
      </c>
      <c r="E96" s="27"/>
      <c r="F96" s="28">
        <v>1</v>
      </c>
      <c r="G96" s="173"/>
      <c r="H96" s="9">
        <v>1</v>
      </c>
      <c r="I96" s="9">
        <v>2</v>
      </c>
      <c r="J96" s="36"/>
      <c r="K96" s="43"/>
      <c r="L96" s="11"/>
      <c r="M96" s="27"/>
      <c r="N96" s="35"/>
      <c r="O96" s="36"/>
    </row>
    <row r="97" spans="1:15" x14ac:dyDescent="0.25">
      <c r="A97" s="26" t="s">
        <v>59</v>
      </c>
      <c r="B97" s="7" t="s">
        <v>61</v>
      </c>
      <c r="C97" s="9">
        <v>8</v>
      </c>
      <c r="D97" s="9">
        <v>4</v>
      </c>
      <c r="E97" s="27"/>
      <c r="F97" s="28">
        <v>1</v>
      </c>
      <c r="G97" s="173"/>
      <c r="H97" s="9">
        <v>1</v>
      </c>
      <c r="I97" s="9">
        <v>2</v>
      </c>
      <c r="J97" s="36"/>
      <c r="K97" s="43"/>
      <c r="L97" s="11"/>
      <c r="M97" s="27"/>
      <c r="N97" s="35"/>
      <c r="O97" s="36"/>
    </row>
    <row r="98" spans="1:15" x14ac:dyDescent="0.25">
      <c r="A98" s="26" t="s">
        <v>59</v>
      </c>
      <c r="B98" s="7" t="s">
        <v>61</v>
      </c>
      <c r="C98" s="9">
        <v>9</v>
      </c>
      <c r="D98" s="9">
        <v>4</v>
      </c>
      <c r="E98" s="27"/>
      <c r="F98" s="28">
        <v>1</v>
      </c>
      <c r="G98" s="173"/>
      <c r="H98" s="9">
        <v>1</v>
      </c>
      <c r="I98" s="9">
        <v>2</v>
      </c>
      <c r="J98" s="36"/>
      <c r="K98" s="43"/>
      <c r="L98" s="11"/>
      <c r="M98" s="27"/>
      <c r="N98" s="35"/>
      <c r="O98" s="36"/>
    </row>
    <row r="99" spans="1:15" x14ac:dyDescent="0.25">
      <c r="A99" s="26" t="s">
        <v>59</v>
      </c>
      <c r="B99" s="7" t="s">
        <v>61</v>
      </c>
      <c r="C99" s="9">
        <v>10</v>
      </c>
      <c r="D99" s="9">
        <v>10</v>
      </c>
      <c r="E99" s="27"/>
      <c r="F99" s="28">
        <v>1</v>
      </c>
      <c r="G99" s="173"/>
      <c r="H99" s="9">
        <v>1</v>
      </c>
      <c r="I99" s="9">
        <v>2</v>
      </c>
      <c r="J99" s="36"/>
      <c r="K99" s="43"/>
      <c r="L99" s="11"/>
      <c r="M99" s="27"/>
      <c r="N99" s="35"/>
      <c r="O99" s="36"/>
    </row>
    <row r="100" spans="1:15" x14ac:dyDescent="0.25">
      <c r="A100" s="26" t="s">
        <v>59</v>
      </c>
      <c r="B100" s="7" t="s">
        <v>61</v>
      </c>
      <c r="C100" s="9">
        <v>11</v>
      </c>
      <c r="D100" s="9">
        <v>4</v>
      </c>
      <c r="E100" s="24" t="s">
        <v>683</v>
      </c>
      <c r="F100" s="28">
        <v>1</v>
      </c>
      <c r="G100" s="173"/>
      <c r="H100" s="9">
        <v>1</v>
      </c>
      <c r="I100" s="9">
        <v>2</v>
      </c>
      <c r="J100" s="36"/>
      <c r="K100" s="43"/>
      <c r="L100" s="11"/>
      <c r="M100" s="27"/>
      <c r="N100" s="35"/>
      <c r="O100" s="36"/>
    </row>
    <row r="101" spans="1:15" x14ac:dyDescent="0.25">
      <c r="A101" s="26" t="s">
        <v>59</v>
      </c>
      <c r="B101" s="7" t="s">
        <v>61</v>
      </c>
      <c r="C101" s="9">
        <v>12</v>
      </c>
      <c r="D101" s="9">
        <v>4</v>
      </c>
      <c r="E101" s="27"/>
      <c r="F101" s="28">
        <v>1</v>
      </c>
      <c r="G101" s="173"/>
      <c r="H101" s="9">
        <v>1</v>
      </c>
      <c r="I101" s="9">
        <v>2</v>
      </c>
      <c r="J101" s="36"/>
      <c r="K101" s="43"/>
      <c r="L101" s="11"/>
      <c r="M101" s="27"/>
      <c r="N101" s="35"/>
      <c r="O101" s="36"/>
    </row>
    <row r="102" spans="1:15" x14ac:dyDescent="0.25">
      <c r="A102" s="26" t="s">
        <v>59</v>
      </c>
      <c r="B102" s="7" t="s">
        <v>61</v>
      </c>
      <c r="C102" s="9">
        <v>13</v>
      </c>
      <c r="D102" s="9">
        <v>4</v>
      </c>
      <c r="E102" s="27"/>
      <c r="F102" s="28">
        <v>1</v>
      </c>
      <c r="G102" s="173"/>
      <c r="H102" s="9">
        <v>1</v>
      </c>
      <c r="I102" s="9">
        <v>2</v>
      </c>
      <c r="J102" s="36"/>
      <c r="K102" s="43"/>
      <c r="L102" s="11"/>
      <c r="M102" s="27"/>
      <c r="N102" s="35"/>
      <c r="O102" s="36"/>
    </row>
    <row r="103" spans="1:15" x14ac:dyDescent="0.25">
      <c r="A103" s="26" t="s">
        <v>59</v>
      </c>
      <c r="B103" s="9" t="s">
        <v>62</v>
      </c>
      <c r="C103" s="9">
        <v>1</v>
      </c>
      <c r="D103" s="9">
        <v>4</v>
      </c>
      <c r="E103" s="27"/>
      <c r="F103" s="28">
        <v>1</v>
      </c>
      <c r="G103" s="173"/>
      <c r="H103" s="9">
        <v>1</v>
      </c>
      <c r="I103" s="9">
        <v>2</v>
      </c>
      <c r="J103" s="36"/>
      <c r="K103" s="43"/>
      <c r="L103" s="11"/>
      <c r="M103" s="27"/>
      <c r="N103" s="35"/>
      <c r="O103" s="36"/>
    </row>
    <row r="104" spans="1:15" x14ac:dyDescent="0.25">
      <c r="A104" s="26" t="s">
        <v>59</v>
      </c>
      <c r="B104" s="9" t="s">
        <v>62</v>
      </c>
      <c r="C104" s="9">
        <v>2</v>
      </c>
      <c r="D104" s="9">
        <v>4</v>
      </c>
      <c r="E104" s="27"/>
      <c r="F104" s="28">
        <v>1</v>
      </c>
      <c r="G104" s="173"/>
      <c r="H104" s="9">
        <v>1</v>
      </c>
      <c r="I104" s="9">
        <v>2</v>
      </c>
      <c r="J104" s="36"/>
      <c r="K104" s="43"/>
      <c r="L104" s="11"/>
      <c r="M104" s="27"/>
      <c r="N104" s="35"/>
      <c r="O104" s="36"/>
    </row>
    <row r="105" spans="1:15" x14ac:dyDescent="0.25">
      <c r="A105" s="26" t="s">
        <v>59</v>
      </c>
      <c r="B105" s="9" t="s">
        <v>62</v>
      </c>
      <c r="C105" s="9">
        <v>3</v>
      </c>
      <c r="D105" s="9">
        <v>4</v>
      </c>
      <c r="E105" s="27"/>
      <c r="F105" s="28">
        <v>1</v>
      </c>
      <c r="G105" s="173"/>
      <c r="H105" s="9">
        <v>1</v>
      </c>
      <c r="I105" s="9">
        <v>2</v>
      </c>
      <c r="J105" s="36"/>
      <c r="K105" s="43"/>
      <c r="L105" s="11"/>
      <c r="M105" s="27"/>
      <c r="N105" s="35"/>
      <c r="O105" s="36"/>
    </row>
    <row r="106" spans="1:15" x14ac:dyDescent="0.25">
      <c r="A106" s="26" t="s">
        <v>59</v>
      </c>
      <c r="B106" s="9" t="s">
        <v>62</v>
      </c>
      <c r="C106" s="9">
        <v>4</v>
      </c>
      <c r="D106" s="9">
        <v>4</v>
      </c>
      <c r="E106" s="24" t="s">
        <v>671</v>
      </c>
      <c r="F106" s="28">
        <v>1</v>
      </c>
      <c r="G106" s="173"/>
      <c r="H106" s="9">
        <v>1</v>
      </c>
      <c r="I106" s="9">
        <v>2</v>
      </c>
      <c r="J106" s="36"/>
      <c r="K106" s="43"/>
      <c r="L106" s="11"/>
      <c r="M106" s="27"/>
      <c r="N106" s="35"/>
      <c r="O106" s="36"/>
    </row>
    <row r="107" spans="1:15" x14ac:dyDescent="0.25">
      <c r="A107" s="26" t="s">
        <v>59</v>
      </c>
      <c r="B107" s="9" t="s">
        <v>62</v>
      </c>
      <c r="C107" s="9">
        <v>5</v>
      </c>
      <c r="D107" s="9">
        <v>4</v>
      </c>
      <c r="E107" s="27"/>
      <c r="F107" s="28">
        <v>1</v>
      </c>
      <c r="G107" s="173"/>
      <c r="H107" s="9">
        <v>1</v>
      </c>
      <c r="I107" s="9">
        <v>2</v>
      </c>
      <c r="J107" s="36"/>
      <c r="K107" s="43"/>
      <c r="L107" s="11"/>
      <c r="M107" s="27"/>
      <c r="N107" s="35"/>
      <c r="O107" s="36"/>
    </row>
    <row r="108" spans="1:15" x14ac:dyDescent="0.25">
      <c r="A108" s="26" t="s">
        <v>59</v>
      </c>
      <c r="B108" s="9" t="s">
        <v>62</v>
      </c>
      <c r="C108" s="9">
        <v>6</v>
      </c>
      <c r="D108" s="9">
        <v>4</v>
      </c>
      <c r="E108" s="27"/>
      <c r="F108" s="28">
        <v>1</v>
      </c>
      <c r="G108" s="173"/>
      <c r="H108" s="9">
        <v>1</v>
      </c>
      <c r="I108" s="9">
        <v>2</v>
      </c>
      <c r="J108" s="36"/>
      <c r="K108" s="43"/>
      <c r="L108" s="11"/>
      <c r="M108" s="27"/>
      <c r="N108" s="35"/>
      <c r="O108" s="36"/>
    </row>
    <row r="109" spans="1:15" x14ac:dyDescent="0.25">
      <c r="A109" s="26" t="s">
        <v>59</v>
      </c>
      <c r="B109" s="9" t="s">
        <v>62</v>
      </c>
      <c r="C109" s="9">
        <v>7</v>
      </c>
      <c r="D109" s="9">
        <v>4</v>
      </c>
      <c r="E109" s="27"/>
      <c r="F109" s="28">
        <v>1</v>
      </c>
      <c r="G109" s="173"/>
      <c r="H109" s="9">
        <v>1</v>
      </c>
      <c r="I109" s="9">
        <v>2</v>
      </c>
      <c r="J109" s="36"/>
      <c r="K109" s="43"/>
      <c r="L109" s="11"/>
      <c r="M109" s="27"/>
      <c r="N109" s="35"/>
      <c r="O109" s="36"/>
    </row>
    <row r="110" spans="1:15" x14ac:dyDescent="0.25">
      <c r="A110" s="26" t="s">
        <v>59</v>
      </c>
      <c r="B110" s="9" t="s">
        <v>62</v>
      </c>
      <c r="C110" s="9">
        <v>8</v>
      </c>
      <c r="D110" s="9">
        <v>8</v>
      </c>
      <c r="E110" s="27"/>
      <c r="F110" s="28">
        <v>1</v>
      </c>
      <c r="G110" s="173"/>
      <c r="H110" s="9">
        <v>1</v>
      </c>
      <c r="I110" s="9">
        <v>2</v>
      </c>
      <c r="J110" s="36"/>
      <c r="K110" s="43"/>
      <c r="L110" s="11"/>
      <c r="M110" s="27"/>
      <c r="N110" s="35"/>
      <c r="O110" s="36"/>
    </row>
    <row r="111" spans="1:15" x14ac:dyDescent="0.25">
      <c r="A111" s="26" t="s">
        <v>59</v>
      </c>
      <c r="B111" s="9" t="s">
        <v>62</v>
      </c>
      <c r="C111" s="9">
        <v>9</v>
      </c>
      <c r="D111" s="9">
        <v>4</v>
      </c>
      <c r="E111" s="27"/>
      <c r="F111" s="28">
        <v>1</v>
      </c>
      <c r="G111" s="173"/>
      <c r="H111" s="9">
        <v>1</v>
      </c>
      <c r="I111" s="9">
        <v>2</v>
      </c>
      <c r="J111" s="36"/>
      <c r="K111" s="43"/>
      <c r="L111" s="11"/>
      <c r="M111" s="27"/>
      <c r="N111" s="35"/>
      <c r="O111" s="36"/>
    </row>
    <row r="112" spans="1:15" x14ac:dyDescent="0.25">
      <c r="A112" s="26" t="s">
        <v>59</v>
      </c>
      <c r="B112" s="9" t="s">
        <v>62</v>
      </c>
      <c r="C112" s="9">
        <v>10</v>
      </c>
      <c r="D112" s="9">
        <v>4</v>
      </c>
      <c r="E112" s="27"/>
      <c r="F112" s="28">
        <v>1</v>
      </c>
      <c r="G112" s="173"/>
      <c r="H112" s="9">
        <v>1</v>
      </c>
      <c r="I112" s="9">
        <v>2</v>
      </c>
      <c r="J112" s="36"/>
      <c r="K112" s="43"/>
      <c r="L112" s="11"/>
      <c r="M112" s="27"/>
      <c r="N112" s="35"/>
      <c r="O112" s="36"/>
    </row>
    <row r="113" spans="1:15" x14ac:dyDescent="0.25">
      <c r="A113" s="26" t="s">
        <v>59</v>
      </c>
      <c r="B113" s="9" t="s">
        <v>62</v>
      </c>
      <c r="C113" s="9">
        <v>11</v>
      </c>
      <c r="D113" s="9">
        <v>4</v>
      </c>
      <c r="E113" s="27"/>
      <c r="F113" s="28">
        <v>1</v>
      </c>
      <c r="G113" s="173"/>
      <c r="H113" s="9">
        <v>1</v>
      </c>
      <c r="I113" s="9">
        <v>2</v>
      </c>
      <c r="J113" s="36"/>
      <c r="K113" s="43"/>
      <c r="L113" s="11"/>
      <c r="M113" s="27"/>
      <c r="N113" s="35"/>
      <c r="O113" s="36"/>
    </row>
    <row r="114" spans="1:15" x14ac:dyDescent="0.25">
      <c r="A114" s="26" t="s">
        <v>59</v>
      </c>
      <c r="B114" s="9" t="s">
        <v>62</v>
      </c>
      <c r="C114" s="9">
        <v>12</v>
      </c>
      <c r="D114" s="9">
        <v>4</v>
      </c>
      <c r="E114" s="27"/>
      <c r="F114" s="28">
        <v>1</v>
      </c>
      <c r="G114" s="173"/>
      <c r="H114" s="9">
        <v>1</v>
      </c>
      <c r="I114" s="9">
        <v>2</v>
      </c>
      <c r="J114" s="36"/>
      <c r="K114" s="43"/>
      <c r="L114" s="11"/>
      <c r="M114" s="27"/>
      <c r="N114" s="35"/>
      <c r="O114" s="36"/>
    </row>
    <row r="115" spans="1:15" x14ac:dyDescent="0.25">
      <c r="A115" s="26" t="s">
        <v>59</v>
      </c>
      <c r="B115" s="9" t="s">
        <v>62</v>
      </c>
      <c r="C115" s="9">
        <v>13</v>
      </c>
      <c r="D115" s="9">
        <v>4</v>
      </c>
      <c r="E115" s="24" t="s">
        <v>678</v>
      </c>
      <c r="F115" s="28">
        <v>1</v>
      </c>
      <c r="G115" s="173"/>
      <c r="H115" s="9">
        <v>1</v>
      </c>
      <c r="I115" s="9">
        <v>2</v>
      </c>
      <c r="J115" s="36"/>
      <c r="K115" s="43"/>
      <c r="L115" s="11"/>
      <c r="M115" s="27"/>
      <c r="N115" s="35"/>
      <c r="O115" s="36"/>
    </row>
    <row r="116" spans="1:15" x14ac:dyDescent="0.25">
      <c r="A116" s="26" t="s">
        <v>59</v>
      </c>
      <c r="B116" s="9" t="s">
        <v>62</v>
      </c>
      <c r="C116" s="9">
        <v>14</v>
      </c>
      <c r="D116" s="9">
        <v>4</v>
      </c>
      <c r="E116" s="27"/>
      <c r="F116" s="28">
        <v>1</v>
      </c>
      <c r="G116" s="173"/>
      <c r="H116" s="9">
        <v>1</v>
      </c>
      <c r="I116" s="9">
        <v>2</v>
      </c>
      <c r="J116" s="36"/>
      <c r="K116" s="43"/>
      <c r="L116" s="11"/>
      <c r="M116" s="27"/>
      <c r="N116" s="35"/>
      <c r="O116" s="36"/>
    </row>
    <row r="117" spans="1:15" x14ac:dyDescent="0.25">
      <c r="A117" s="26" t="s">
        <v>59</v>
      </c>
      <c r="B117" s="9" t="s">
        <v>62</v>
      </c>
      <c r="C117" s="9">
        <v>15</v>
      </c>
      <c r="D117" s="9">
        <v>4</v>
      </c>
      <c r="E117" s="27"/>
      <c r="F117" s="28">
        <v>1</v>
      </c>
      <c r="G117" s="173"/>
      <c r="H117" s="9">
        <v>1</v>
      </c>
      <c r="I117" s="9">
        <v>2</v>
      </c>
      <c r="J117" s="36"/>
      <c r="K117" s="43"/>
      <c r="L117" s="11"/>
      <c r="M117" s="27"/>
      <c r="N117" s="35"/>
      <c r="O117" s="36"/>
    </row>
    <row r="118" spans="1:15" x14ac:dyDescent="0.25">
      <c r="A118" s="26" t="s">
        <v>59</v>
      </c>
      <c r="B118" s="19" t="s">
        <v>63</v>
      </c>
      <c r="C118" s="9">
        <v>1</v>
      </c>
      <c r="D118" s="9">
        <v>4</v>
      </c>
      <c r="E118" s="27"/>
      <c r="F118" s="28">
        <v>1</v>
      </c>
      <c r="G118" s="173"/>
      <c r="H118" s="9">
        <v>1</v>
      </c>
      <c r="I118" s="9">
        <v>2</v>
      </c>
      <c r="J118" s="36"/>
      <c r="K118" s="43"/>
      <c r="L118" s="11"/>
      <c r="M118" s="27"/>
      <c r="N118" s="35"/>
      <c r="O118" s="36"/>
    </row>
    <row r="119" spans="1:15" x14ac:dyDescent="0.25">
      <c r="A119" s="26" t="s">
        <v>59</v>
      </c>
      <c r="B119" s="19" t="s">
        <v>63</v>
      </c>
      <c r="C119" s="9">
        <v>2</v>
      </c>
      <c r="D119" s="9">
        <v>4</v>
      </c>
      <c r="E119" s="27"/>
      <c r="F119" s="28">
        <v>1</v>
      </c>
      <c r="G119" s="173"/>
      <c r="H119" s="9">
        <v>1</v>
      </c>
      <c r="I119" s="9">
        <v>2</v>
      </c>
      <c r="J119" s="36"/>
      <c r="K119" s="43"/>
      <c r="L119" s="11"/>
      <c r="M119" s="27"/>
      <c r="N119" s="35"/>
      <c r="O119" s="36"/>
    </row>
    <row r="120" spans="1:15" x14ac:dyDescent="0.25">
      <c r="A120" s="26" t="s">
        <v>59</v>
      </c>
      <c r="B120" s="19" t="s">
        <v>63</v>
      </c>
      <c r="C120" s="9">
        <v>3</v>
      </c>
      <c r="D120" s="9">
        <v>4</v>
      </c>
      <c r="E120" s="27"/>
      <c r="F120" s="28">
        <v>1</v>
      </c>
      <c r="G120" s="173"/>
      <c r="H120" s="9">
        <v>1</v>
      </c>
      <c r="I120" s="9">
        <v>2</v>
      </c>
      <c r="J120" s="36"/>
      <c r="K120" s="43"/>
      <c r="L120" s="11"/>
      <c r="M120" s="27"/>
      <c r="N120" s="35"/>
      <c r="O120" s="36"/>
    </row>
    <row r="121" spans="1:15" x14ac:dyDescent="0.25">
      <c r="A121" s="26" t="s">
        <v>59</v>
      </c>
      <c r="B121" s="19" t="s">
        <v>63</v>
      </c>
      <c r="C121" s="9">
        <v>4</v>
      </c>
      <c r="D121" s="9">
        <v>4</v>
      </c>
      <c r="E121" s="27"/>
      <c r="F121" s="28">
        <v>1</v>
      </c>
      <c r="G121" s="173"/>
      <c r="H121" s="9">
        <v>1</v>
      </c>
      <c r="I121" s="9">
        <v>2</v>
      </c>
      <c r="J121" s="36"/>
      <c r="K121" s="43"/>
      <c r="L121" s="11"/>
      <c r="M121" s="27"/>
      <c r="N121" s="35"/>
      <c r="O121" s="36"/>
    </row>
    <row r="122" spans="1:15" x14ac:dyDescent="0.25">
      <c r="A122" s="26" t="s">
        <v>59</v>
      </c>
      <c r="B122" s="19" t="s">
        <v>63</v>
      </c>
      <c r="C122" s="9">
        <v>5</v>
      </c>
      <c r="D122" s="9">
        <v>4</v>
      </c>
      <c r="E122" s="24" t="s">
        <v>680</v>
      </c>
      <c r="F122" s="28">
        <v>1</v>
      </c>
      <c r="G122" s="173"/>
      <c r="H122" s="9">
        <v>1</v>
      </c>
      <c r="I122" s="9">
        <v>2</v>
      </c>
      <c r="J122" s="36"/>
      <c r="K122" s="43"/>
      <c r="L122" s="11"/>
      <c r="M122" s="27"/>
      <c r="N122" s="35"/>
      <c r="O122" s="36"/>
    </row>
    <row r="123" spans="1:15" x14ac:dyDescent="0.25">
      <c r="A123" s="26" t="s">
        <v>59</v>
      </c>
      <c r="B123" s="19" t="s">
        <v>63</v>
      </c>
      <c r="C123" s="9">
        <v>6</v>
      </c>
      <c r="D123" s="9">
        <v>4</v>
      </c>
      <c r="E123" s="24" t="s">
        <v>679</v>
      </c>
      <c r="F123" s="28">
        <v>1</v>
      </c>
      <c r="G123" s="173"/>
      <c r="H123" s="9">
        <v>1</v>
      </c>
      <c r="I123" s="9">
        <v>2</v>
      </c>
      <c r="J123" s="36"/>
      <c r="K123" s="43"/>
      <c r="L123" s="11"/>
      <c r="M123" s="27"/>
      <c r="N123" s="35"/>
      <c r="O123" s="36"/>
    </row>
    <row r="124" spans="1:15" x14ac:dyDescent="0.25">
      <c r="A124" s="26" t="s">
        <v>59</v>
      </c>
      <c r="B124" s="19" t="s">
        <v>63</v>
      </c>
      <c r="C124" s="9">
        <v>7</v>
      </c>
      <c r="D124" s="9">
        <v>4</v>
      </c>
      <c r="E124" s="27"/>
      <c r="F124" s="28">
        <v>1</v>
      </c>
      <c r="G124" s="173"/>
      <c r="H124" s="9">
        <v>1</v>
      </c>
      <c r="I124" s="9">
        <v>2</v>
      </c>
      <c r="J124" s="36"/>
      <c r="K124" s="43"/>
      <c r="L124" s="11"/>
      <c r="M124" s="27"/>
      <c r="N124" s="35"/>
      <c r="O124" s="36"/>
    </row>
    <row r="125" spans="1:15" x14ac:dyDescent="0.25">
      <c r="A125" s="26" t="s">
        <v>59</v>
      </c>
      <c r="B125" s="19" t="s">
        <v>63</v>
      </c>
      <c r="C125" s="9">
        <v>8</v>
      </c>
      <c r="D125" s="9">
        <v>20</v>
      </c>
      <c r="E125" s="27"/>
      <c r="F125" s="28">
        <v>1</v>
      </c>
      <c r="G125" s="173"/>
      <c r="H125" s="9">
        <v>1</v>
      </c>
      <c r="I125" s="9">
        <v>2</v>
      </c>
      <c r="J125" s="36"/>
      <c r="K125" s="43"/>
      <c r="L125" s="11"/>
      <c r="M125" s="27"/>
      <c r="N125" s="35"/>
      <c r="O125" s="36"/>
    </row>
    <row r="126" spans="1:15" x14ac:dyDescent="0.25">
      <c r="A126" s="26" t="s">
        <v>59</v>
      </c>
      <c r="B126" s="19" t="s">
        <v>63</v>
      </c>
      <c r="C126" s="9">
        <v>9</v>
      </c>
      <c r="D126" s="9">
        <v>4</v>
      </c>
      <c r="E126" s="27"/>
      <c r="F126" s="28">
        <v>1</v>
      </c>
      <c r="G126" s="173"/>
      <c r="H126" s="9">
        <v>1</v>
      </c>
      <c r="I126" s="9">
        <v>2</v>
      </c>
      <c r="J126" s="36"/>
      <c r="K126" s="43"/>
      <c r="L126" s="11"/>
      <c r="M126" s="27"/>
      <c r="N126" s="35"/>
      <c r="O126" s="36"/>
    </row>
    <row r="127" spans="1:15" x14ac:dyDescent="0.25">
      <c r="A127" s="26" t="s">
        <v>59</v>
      </c>
      <c r="B127" s="19" t="s">
        <v>63</v>
      </c>
      <c r="C127" s="9">
        <v>10</v>
      </c>
      <c r="D127" s="9">
        <v>4</v>
      </c>
      <c r="E127" s="27"/>
      <c r="F127" s="28">
        <v>1</v>
      </c>
      <c r="G127" s="173"/>
      <c r="H127" s="9">
        <v>1</v>
      </c>
      <c r="I127" s="9">
        <v>2</v>
      </c>
      <c r="J127" s="36"/>
      <c r="K127" s="43"/>
      <c r="L127" s="11"/>
      <c r="M127" s="27"/>
      <c r="N127" s="35"/>
      <c r="O127" s="36"/>
    </row>
    <row r="128" spans="1:15" x14ac:dyDescent="0.25">
      <c r="A128" s="26" t="s">
        <v>59</v>
      </c>
      <c r="B128" s="19" t="s">
        <v>63</v>
      </c>
      <c r="C128" s="9">
        <v>11</v>
      </c>
      <c r="D128" s="9">
        <v>4</v>
      </c>
      <c r="E128" s="24" t="s">
        <v>681</v>
      </c>
      <c r="F128" s="28">
        <v>1</v>
      </c>
      <c r="G128" s="173"/>
      <c r="H128" s="9">
        <v>1</v>
      </c>
      <c r="I128" s="9">
        <v>2</v>
      </c>
      <c r="J128" s="36"/>
      <c r="K128" s="43"/>
      <c r="L128" s="11"/>
      <c r="M128" s="27"/>
      <c r="N128" s="35"/>
      <c r="O128" s="36"/>
    </row>
    <row r="129" spans="1:15" x14ac:dyDescent="0.25">
      <c r="A129" s="26" t="s">
        <v>59</v>
      </c>
      <c r="B129" s="19" t="s">
        <v>63</v>
      </c>
      <c r="C129" s="9">
        <v>12</v>
      </c>
      <c r="D129" s="9">
        <v>4</v>
      </c>
      <c r="E129" s="27"/>
      <c r="F129" s="28">
        <v>1</v>
      </c>
      <c r="G129" s="173"/>
      <c r="H129" s="9">
        <v>1</v>
      </c>
      <c r="I129" s="9">
        <v>2</v>
      </c>
      <c r="J129" s="36"/>
      <c r="K129" s="43"/>
      <c r="L129" s="11"/>
      <c r="M129" s="27"/>
      <c r="N129" s="35"/>
      <c r="O129" s="36"/>
    </row>
    <row r="130" spans="1:15" x14ac:dyDescent="0.25">
      <c r="A130" s="26" t="s">
        <v>59</v>
      </c>
      <c r="B130" s="19" t="s">
        <v>63</v>
      </c>
      <c r="C130" s="9">
        <v>13</v>
      </c>
      <c r="D130" s="9">
        <v>4</v>
      </c>
      <c r="E130" s="27"/>
      <c r="F130" s="28">
        <v>1</v>
      </c>
      <c r="G130" s="173"/>
      <c r="H130" s="9">
        <v>1</v>
      </c>
      <c r="I130" s="9">
        <v>2</v>
      </c>
      <c r="J130" s="36"/>
      <c r="K130" s="43"/>
      <c r="L130" s="11"/>
      <c r="M130" s="27"/>
      <c r="N130" s="35"/>
      <c r="O130" s="36"/>
    </row>
    <row r="131" spans="1:15" x14ac:dyDescent="0.25">
      <c r="A131" s="26" t="s">
        <v>59</v>
      </c>
      <c r="B131" s="19" t="s">
        <v>63</v>
      </c>
      <c r="C131" s="9">
        <v>14</v>
      </c>
      <c r="D131" s="9">
        <v>4</v>
      </c>
      <c r="E131" s="27"/>
      <c r="F131" s="28">
        <v>1</v>
      </c>
      <c r="G131" s="173"/>
      <c r="H131" s="9">
        <v>1</v>
      </c>
      <c r="I131" s="9">
        <v>2</v>
      </c>
      <c r="J131" s="36"/>
      <c r="K131" s="43"/>
      <c r="L131" s="11"/>
      <c r="M131" s="27"/>
      <c r="N131" s="35"/>
      <c r="O131" s="36"/>
    </row>
    <row r="132" spans="1:15" ht="15.75" thickBot="1" x14ac:dyDescent="0.3">
      <c r="A132" s="90" t="s">
        <v>59</v>
      </c>
      <c r="B132" s="29" t="s">
        <v>63</v>
      </c>
      <c r="C132" s="30">
        <v>15</v>
      </c>
      <c r="D132" s="30">
        <v>4</v>
      </c>
      <c r="E132" s="31"/>
      <c r="F132" s="37">
        <v>1</v>
      </c>
      <c r="G132" s="174"/>
      <c r="H132" s="30">
        <v>1</v>
      </c>
      <c r="I132" s="30">
        <v>2</v>
      </c>
      <c r="J132" s="38"/>
      <c r="K132" s="44"/>
      <c r="L132" s="45"/>
      <c r="M132" s="31"/>
      <c r="N132" s="50"/>
      <c r="O132" s="38"/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8"/>
  <sheetViews>
    <sheetView workbookViewId="0">
      <selection activeCell="K15" sqref="K15"/>
    </sheetView>
  </sheetViews>
  <sheetFormatPr baseColWidth="10" defaultRowHeight="15" x14ac:dyDescent="0.25"/>
  <cols>
    <col min="1" max="1" width="15.7109375" customWidth="1"/>
    <col min="5" max="5" width="24.7109375" customWidth="1"/>
    <col min="6" max="6" width="24.7109375" style="176" customWidth="1"/>
    <col min="7" max="7" width="12.85546875" customWidth="1"/>
    <col min="8" max="8" width="13.140625" customWidth="1"/>
    <col min="11" max="11" width="19" customWidth="1"/>
    <col min="12" max="12" width="5.42578125" style="179" customWidth="1"/>
    <col min="13" max="13" width="15.5703125" customWidth="1"/>
    <col min="15" max="15" width="13.85546875" customWidth="1"/>
    <col min="16" max="16" width="22.42578125" customWidth="1"/>
    <col min="17" max="17" width="16.7109375" customWidth="1"/>
    <col min="18" max="18" width="15.140625" customWidth="1"/>
    <col min="19" max="19" width="15" customWidth="1"/>
    <col min="20" max="20" width="15.28515625" customWidth="1"/>
  </cols>
  <sheetData>
    <row r="1" spans="1:16" s="176" customFormat="1" ht="18.75" x14ac:dyDescent="0.3">
      <c r="A1" s="103" t="s">
        <v>553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4"/>
    </row>
    <row r="2" spans="1:16" s="176" customFormat="1" ht="18.75" x14ac:dyDescent="0.3">
      <c r="A2" s="105" t="s">
        <v>554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06"/>
    </row>
    <row r="3" spans="1:16" s="176" customFormat="1" ht="18.75" x14ac:dyDescent="0.3">
      <c r="A3" s="105" t="s">
        <v>749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06"/>
    </row>
    <row r="4" spans="1:16" s="176" customFormat="1" ht="19.5" thickBot="1" x14ac:dyDescent="0.35">
      <c r="A4" s="107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08" t="s">
        <v>556</v>
      </c>
    </row>
    <row r="5" spans="1:16" ht="15.75" thickBot="1" x14ac:dyDescent="0.3">
      <c r="A5" s="3"/>
      <c r="B5" s="176"/>
      <c r="C5" s="176"/>
      <c r="D5" s="176"/>
      <c r="E5" s="176"/>
      <c r="G5" s="176"/>
      <c r="H5" s="16"/>
      <c r="I5" s="16"/>
      <c r="J5" s="16"/>
      <c r="K5" s="16"/>
      <c r="L5" s="16"/>
      <c r="M5" s="16"/>
      <c r="N5" s="16"/>
      <c r="O5" s="16"/>
      <c r="P5" s="16"/>
    </row>
    <row r="6" spans="1:16" ht="15.75" thickBot="1" x14ac:dyDescent="0.3">
      <c r="A6" s="20"/>
      <c r="B6" s="21" t="s">
        <v>67</v>
      </c>
      <c r="C6" s="21"/>
      <c r="D6" s="21"/>
      <c r="E6" s="22"/>
      <c r="F6" s="21"/>
      <c r="G6" s="32"/>
      <c r="H6" s="33" t="s">
        <v>154</v>
      </c>
      <c r="I6" s="33"/>
      <c r="J6" s="34"/>
      <c r="K6" s="39"/>
      <c r="L6" s="180"/>
      <c r="M6" s="40" t="s">
        <v>156</v>
      </c>
      <c r="N6" s="40"/>
      <c r="O6" s="77"/>
      <c r="P6" s="175"/>
    </row>
    <row r="7" spans="1:16" x14ac:dyDescent="0.25">
      <c r="A7" s="23"/>
      <c r="B7" s="1" t="s">
        <v>168</v>
      </c>
      <c r="C7" s="1" t="s">
        <v>137</v>
      </c>
      <c r="D7" s="1" t="s">
        <v>131</v>
      </c>
      <c r="E7" s="24" t="s">
        <v>167</v>
      </c>
      <c r="F7" s="123"/>
      <c r="G7" s="35" t="s">
        <v>163</v>
      </c>
      <c r="H7" s="6" t="s">
        <v>155</v>
      </c>
      <c r="I7" s="6" t="s">
        <v>164</v>
      </c>
      <c r="J7" s="36" t="s">
        <v>165</v>
      </c>
      <c r="K7" s="35" t="s">
        <v>157</v>
      </c>
      <c r="L7" s="116"/>
      <c r="M7" s="6" t="s">
        <v>158</v>
      </c>
      <c r="N7" s="72" t="s">
        <v>159</v>
      </c>
      <c r="O7" s="6" t="s">
        <v>160</v>
      </c>
      <c r="P7" s="121" t="s">
        <v>516</v>
      </c>
    </row>
    <row r="8" spans="1:16" ht="15.75" thickBot="1" x14ac:dyDescent="0.3">
      <c r="A8" s="61" t="s">
        <v>125</v>
      </c>
      <c r="B8" s="62"/>
      <c r="C8" s="62"/>
      <c r="D8" s="62"/>
      <c r="E8" s="63"/>
      <c r="F8" s="177"/>
      <c r="G8" s="64">
        <v>220</v>
      </c>
      <c r="H8" s="65">
        <v>50</v>
      </c>
      <c r="I8" s="65">
        <v>500</v>
      </c>
      <c r="J8" s="66">
        <v>100</v>
      </c>
      <c r="K8" s="67">
        <v>1100</v>
      </c>
      <c r="L8" s="181"/>
      <c r="M8" s="68">
        <v>1100</v>
      </c>
      <c r="N8" s="73">
        <v>600</v>
      </c>
      <c r="O8" s="68">
        <v>600</v>
      </c>
      <c r="P8" s="79">
        <v>100</v>
      </c>
    </row>
    <row r="9" spans="1:16" ht="15.75" thickBot="1" x14ac:dyDescent="0.3">
      <c r="A9" s="57" t="s">
        <v>124</v>
      </c>
      <c r="B9" s="94"/>
      <c r="C9" s="96">
        <f>COUNTA(C11:C218)</f>
        <v>208</v>
      </c>
      <c r="D9" s="52">
        <f>SUM(D11:D218)</f>
        <v>1035</v>
      </c>
      <c r="E9" s="53"/>
      <c r="F9" s="178"/>
      <c r="G9" s="54">
        <f>C9</f>
        <v>208</v>
      </c>
      <c r="H9" s="55">
        <f>D9</f>
        <v>1035</v>
      </c>
      <c r="I9" s="55">
        <f>SUM(I11:I127)</f>
        <v>0</v>
      </c>
      <c r="J9" s="56">
        <f>SUM(J11:J127)</f>
        <v>0</v>
      </c>
      <c r="K9" s="80">
        <f>D9</f>
        <v>1035</v>
      </c>
      <c r="L9" s="182"/>
      <c r="M9" s="81">
        <f>D9</f>
        <v>1035</v>
      </c>
      <c r="N9" s="82"/>
      <c r="O9" s="81">
        <f>D9</f>
        <v>1035</v>
      </c>
      <c r="P9" s="83"/>
    </row>
    <row r="10" spans="1:16" x14ac:dyDescent="0.25">
      <c r="F10"/>
      <c r="L10"/>
    </row>
    <row r="11" spans="1:16" x14ac:dyDescent="0.25">
      <c r="A11" s="169" t="s">
        <v>166</v>
      </c>
      <c r="B11" s="169" t="s">
        <v>168</v>
      </c>
      <c r="C11" s="169" t="s">
        <v>750</v>
      </c>
      <c r="D11" s="169" t="s">
        <v>720</v>
      </c>
      <c r="E11" s="169" t="s">
        <v>684</v>
      </c>
      <c r="F11" s="169" t="s">
        <v>731</v>
      </c>
      <c r="G11" s="169" t="s">
        <v>742</v>
      </c>
    </row>
    <row r="12" spans="1:16" x14ac:dyDescent="0.25">
      <c r="A12" s="186" t="s">
        <v>58</v>
      </c>
      <c r="B12" s="187" t="s">
        <v>383</v>
      </c>
      <c r="C12" s="186" t="s">
        <v>178</v>
      </c>
      <c r="D12" s="188">
        <v>5</v>
      </c>
      <c r="E12" s="186" t="s">
        <v>685</v>
      </c>
      <c r="F12" s="1"/>
      <c r="G12" s="1"/>
    </row>
    <row r="13" spans="1:16" x14ac:dyDescent="0.25">
      <c r="A13" s="1" t="s">
        <v>58</v>
      </c>
      <c r="B13" s="166" t="s">
        <v>383</v>
      </c>
      <c r="C13" s="1" t="s">
        <v>179</v>
      </c>
      <c r="D13" s="2">
        <v>5</v>
      </c>
      <c r="E13" s="1" t="s">
        <v>685</v>
      </c>
      <c r="F13" s="1"/>
      <c r="G13" s="1"/>
    </row>
    <row r="14" spans="1:16" x14ac:dyDescent="0.25">
      <c r="A14" s="1" t="s">
        <v>58</v>
      </c>
      <c r="B14" s="166" t="s">
        <v>383</v>
      </c>
      <c r="C14" s="1" t="s">
        <v>180</v>
      </c>
      <c r="D14" s="2">
        <v>5</v>
      </c>
      <c r="E14" s="1" t="s">
        <v>685</v>
      </c>
      <c r="F14" s="1"/>
      <c r="G14" s="1"/>
    </row>
    <row r="15" spans="1:16" x14ac:dyDescent="0.25">
      <c r="A15" s="1" t="s">
        <v>58</v>
      </c>
      <c r="B15" s="166" t="s">
        <v>383</v>
      </c>
      <c r="C15" s="1" t="s">
        <v>181</v>
      </c>
      <c r="D15" s="2">
        <v>5</v>
      </c>
      <c r="E15" s="1" t="s">
        <v>685</v>
      </c>
      <c r="F15" s="1"/>
      <c r="G15" s="1"/>
    </row>
    <row r="16" spans="1:16" x14ac:dyDescent="0.25">
      <c r="A16" s="1" t="s">
        <v>58</v>
      </c>
      <c r="B16" s="166" t="s">
        <v>383</v>
      </c>
      <c r="C16" s="1" t="s">
        <v>182</v>
      </c>
      <c r="D16" s="2">
        <v>5</v>
      </c>
      <c r="E16" s="1" t="s">
        <v>685</v>
      </c>
      <c r="F16" s="1"/>
      <c r="G16" s="1"/>
    </row>
    <row r="17" spans="1:21" x14ac:dyDescent="0.25">
      <c r="A17" s="1" t="s">
        <v>58</v>
      </c>
      <c r="B17" s="166" t="s">
        <v>383</v>
      </c>
      <c r="C17" s="1" t="s">
        <v>183</v>
      </c>
      <c r="D17" s="2">
        <v>5</v>
      </c>
      <c r="E17" s="1" t="s">
        <v>685</v>
      </c>
      <c r="F17" s="1"/>
      <c r="G17" s="1"/>
    </row>
    <row r="18" spans="1:21" x14ac:dyDescent="0.25">
      <c r="A18" s="1" t="s">
        <v>58</v>
      </c>
      <c r="B18" s="166" t="s">
        <v>383</v>
      </c>
      <c r="C18" s="1" t="s">
        <v>184</v>
      </c>
      <c r="D18" s="2">
        <v>5</v>
      </c>
      <c r="E18" s="1" t="s">
        <v>685</v>
      </c>
      <c r="F18" s="1"/>
      <c r="G18" s="1"/>
      <c r="U18" s="76"/>
    </row>
    <row r="19" spans="1:21" x14ac:dyDescent="0.25">
      <c r="A19" s="1" t="s">
        <v>58</v>
      </c>
      <c r="B19" s="166" t="s">
        <v>383</v>
      </c>
      <c r="C19" s="1" t="s">
        <v>185</v>
      </c>
      <c r="D19" s="2">
        <v>5</v>
      </c>
      <c r="E19" s="1" t="s">
        <v>685</v>
      </c>
      <c r="F19" s="1"/>
      <c r="G19" s="1"/>
    </row>
    <row r="20" spans="1:21" x14ac:dyDescent="0.25">
      <c r="A20" s="1" t="s">
        <v>58</v>
      </c>
      <c r="B20" s="166" t="s">
        <v>383</v>
      </c>
      <c r="C20" s="1" t="s">
        <v>186</v>
      </c>
      <c r="D20" s="2">
        <v>5</v>
      </c>
      <c r="E20" s="1" t="s">
        <v>685</v>
      </c>
      <c r="F20" s="1"/>
      <c r="G20" s="1"/>
    </row>
    <row r="21" spans="1:21" x14ac:dyDescent="0.25">
      <c r="A21" s="1" t="s">
        <v>58</v>
      </c>
      <c r="B21" s="166" t="s">
        <v>383</v>
      </c>
      <c r="C21" s="1" t="s">
        <v>187</v>
      </c>
      <c r="D21" s="2">
        <v>5</v>
      </c>
      <c r="E21" s="1" t="s">
        <v>686</v>
      </c>
      <c r="F21" s="1"/>
      <c r="G21" s="1"/>
    </row>
    <row r="22" spans="1:21" x14ac:dyDescent="0.25">
      <c r="A22" s="1" t="s">
        <v>57</v>
      </c>
      <c r="B22" s="1" t="s">
        <v>696</v>
      </c>
      <c r="C22" s="1" t="s">
        <v>272</v>
      </c>
      <c r="D22" s="2">
        <v>5</v>
      </c>
      <c r="E22" s="1" t="s">
        <v>693</v>
      </c>
      <c r="F22" s="1"/>
      <c r="G22" s="1"/>
    </row>
    <row r="23" spans="1:21" x14ac:dyDescent="0.25">
      <c r="A23" s="1" t="s">
        <v>57</v>
      </c>
      <c r="B23" s="166" t="s">
        <v>706</v>
      </c>
      <c r="C23" s="1" t="s">
        <v>273</v>
      </c>
      <c r="D23" s="2">
        <v>5</v>
      </c>
      <c r="E23" s="1" t="s">
        <v>700</v>
      </c>
      <c r="F23" s="1"/>
      <c r="G23" s="1"/>
    </row>
    <row r="24" spans="1:21" x14ac:dyDescent="0.25">
      <c r="A24" s="1" t="s">
        <v>57</v>
      </c>
      <c r="B24" s="166" t="s">
        <v>706</v>
      </c>
      <c r="C24" s="1" t="s">
        <v>274</v>
      </c>
      <c r="D24" s="2">
        <v>5</v>
      </c>
      <c r="E24" s="1" t="s">
        <v>481</v>
      </c>
      <c r="F24" s="18">
        <v>5</v>
      </c>
      <c r="G24" s="6" t="s">
        <v>741</v>
      </c>
    </row>
    <row r="25" spans="1:21" x14ac:dyDescent="0.25">
      <c r="A25" s="1" t="s">
        <v>57</v>
      </c>
      <c r="B25" s="166" t="s">
        <v>706</v>
      </c>
      <c r="C25" s="1" t="s">
        <v>275</v>
      </c>
      <c r="D25" s="2">
        <v>5</v>
      </c>
      <c r="E25" s="1" t="s">
        <v>691</v>
      </c>
      <c r="F25" s="1"/>
      <c r="G25" s="1"/>
    </row>
    <row r="26" spans="1:21" x14ac:dyDescent="0.25">
      <c r="A26" s="1" t="s">
        <v>57</v>
      </c>
      <c r="B26" s="166" t="s">
        <v>706</v>
      </c>
      <c r="C26" s="1" t="s">
        <v>276</v>
      </c>
      <c r="D26" s="2">
        <v>5</v>
      </c>
      <c r="E26" s="1" t="s">
        <v>691</v>
      </c>
      <c r="F26" s="1"/>
      <c r="G26" s="1"/>
    </row>
    <row r="27" spans="1:21" x14ac:dyDescent="0.25">
      <c r="A27" s="1" t="s">
        <v>57</v>
      </c>
      <c r="B27" s="166" t="s">
        <v>706</v>
      </c>
      <c r="C27" s="1" t="s">
        <v>277</v>
      </c>
      <c r="D27" s="2">
        <v>5</v>
      </c>
      <c r="E27" s="1" t="s">
        <v>691</v>
      </c>
      <c r="F27" s="1"/>
      <c r="G27" s="1"/>
    </row>
    <row r="28" spans="1:21" x14ac:dyDescent="0.25">
      <c r="A28" s="1" t="s">
        <v>57</v>
      </c>
      <c r="B28" s="166" t="s">
        <v>706</v>
      </c>
      <c r="C28" s="1" t="s">
        <v>278</v>
      </c>
      <c r="D28" s="2">
        <v>5</v>
      </c>
      <c r="E28" s="1" t="s">
        <v>701</v>
      </c>
      <c r="F28" s="1"/>
      <c r="G28" s="1"/>
    </row>
    <row r="29" spans="1:21" x14ac:dyDescent="0.25">
      <c r="A29" s="1" t="s">
        <v>57</v>
      </c>
      <c r="B29" s="166" t="s">
        <v>706</v>
      </c>
      <c r="C29" s="1" t="s">
        <v>279</v>
      </c>
      <c r="D29" s="2">
        <v>5</v>
      </c>
      <c r="E29" s="1" t="s">
        <v>701</v>
      </c>
      <c r="F29" s="1"/>
      <c r="G29" s="1"/>
    </row>
    <row r="30" spans="1:21" x14ac:dyDescent="0.25">
      <c r="A30" s="1" t="s">
        <v>57</v>
      </c>
      <c r="B30" s="166" t="s">
        <v>706</v>
      </c>
      <c r="C30" s="1" t="s">
        <v>280</v>
      </c>
      <c r="D30" s="2">
        <v>5</v>
      </c>
      <c r="E30" s="1" t="s">
        <v>691</v>
      </c>
      <c r="F30" s="1"/>
      <c r="G30" s="1"/>
    </row>
    <row r="31" spans="1:21" x14ac:dyDescent="0.25">
      <c r="A31" s="1" t="s">
        <v>57</v>
      </c>
      <c r="B31" s="166" t="s">
        <v>706</v>
      </c>
      <c r="C31" s="1" t="s">
        <v>281</v>
      </c>
      <c r="D31" s="2">
        <v>5</v>
      </c>
      <c r="E31" s="1" t="s">
        <v>687</v>
      </c>
      <c r="F31" s="1"/>
      <c r="G31" s="1"/>
    </row>
    <row r="32" spans="1:21" x14ac:dyDescent="0.25">
      <c r="A32" s="1" t="s">
        <v>58</v>
      </c>
      <c r="B32" s="166" t="s">
        <v>383</v>
      </c>
      <c r="C32" s="1" t="s">
        <v>188</v>
      </c>
      <c r="D32" s="2">
        <v>5</v>
      </c>
      <c r="E32" s="1" t="s">
        <v>687</v>
      </c>
      <c r="F32" s="1"/>
      <c r="G32" s="1"/>
    </row>
    <row r="33" spans="1:7" x14ac:dyDescent="0.25">
      <c r="A33" s="1" t="s">
        <v>57</v>
      </c>
      <c r="B33" s="166" t="s">
        <v>706</v>
      </c>
      <c r="C33" s="1" t="s">
        <v>282</v>
      </c>
      <c r="D33" s="2">
        <v>5</v>
      </c>
      <c r="E33" s="1" t="s">
        <v>686</v>
      </c>
      <c r="F33" s="1"/>
      <c r="G33" s="1"/>
    </row>
    <row r="34" spans="1:7" x14ac:dyDescent="0.25">
      <c r="A34" s="1" t="s">
        <v>57</v>
      </c>
      <c r="B34" s="166" t="s">
        <v>706</v>
      </c>
      <c r="C34" s="1" t="s">
        <v>283</v>
      </c>
      <c r="D34" s="2">
        <v>5</v>
      </c>
      <c r="E34" s="1" t="s">
        <v>686</v>
      </c>
      <c r="F34" s="1"/>
      <c r="G34" s="1"/>
    </row>
    <row r="35" spans="1:7" x14ac:dyDescent="0.25">
      <c r="A35" s="1" t="s">
        <v>57</v>
      </c>
      <c r="B35" s="166" t="s">
        <v>706</v>
      </c>
      <c r="C35" s="1" t="s">
        <v>284</v>
      </c>
      <c r="D35" s="2">
        <v>5</v>
      </c>
      <c r="E35" s="1" t="s">
        <v>686</v>
      </c>
      <c r="F35" s="1"/>
      <c r="G35" s="1"/>
    </row>
    <row r="36" spans="1:7" x14ac:dyDescent="0.25">
      <c r="A36" s="1" t="s">
        <v>57</v>
      </c>
      <c r="B36" s="166" t="s">
        <v>706</v>
      </c>
      <c r="C36" s="1" t="s">
        <v>285</v>
      </c>
      <c r="D36" s="2">
        <v>5</v>
      </c>
      <c r="E36" s="1" t="s">
        <v>481</v>
      </c>
      <c r="F36" s="18">
        <v>5</v>
      </c>
      <c r="G36" s="6" t="s">
        <v>741</v>
      </c>
    </row>
    <row r="37" spans="1:7" x14ac:dyDescent="0.25">
      <c r="A37" s="1" t="s">
        <v>57</v>
      </c>
      <c r="B37" s="166" t="s">
        <v>706</v>
      </c>
      <c r="C37" s="1" t="s">
        <v>286</v>
      </c>
      <c r="D37" s="2">
        <v>5</v>
      </c>
      <c r="E37" s="1" t="s">
        <v>702</v>
      </c>
      <c r="F37" s="18">
        <v>15</v>
      </c>
      <c r="G37" s="6" t="s">
        <v>741</v>
      </c>
    </row>
    <row r="38" spans="1:7" x14ac:dyDescent="0.25">
      <c r="A38" s="1" t="s">
        <v>151</v>
      </c>
      <c r="B38" s="1" t="s">
        <v>703</v>
      </c>
      <c r="C38" s="1" t="s">
        <v>287</v>
      </c>
      <c r="D38" s="2">
        <v>5</v>
      </c>
      <c r="E38" s="1" t="s">
        <v>691</v>
      </c>
      <c r="F38" s="1"/>
      <c r="G38" s="1"/>
    </row>
    <row r="39" spans="1:7" x14ac:dyDescent="0.25">
      <c r="A39" s="1" t="s">
        <v>151</v>
      </c>
      <c r="B39" s="1" t="s">
        <v>703</v>
      </c>
      <c r="C39" s="1" t="s">
        <v>288</v>
      </c>
      <c r="D39" s="2">
        <v>5</v>
      </c>
      <c r="E39" s="1" t="s">
        <v>691</v>
      </c>
      <c r="F39" s="1"/>
      <c r="G39" s="1"/>
    </row>
    <row r="40" spans="1:7" x14ac:dyDescent="0.25">
      <c r="A40" s="1" t="s">
        <v>151</v>
      </c>
      <c r="B40" s="1" t="s">
        <v>703</v>
      </c>
      <c r="C40" s="1" t="s">
        <v>289</v>
      </c>
      <c r="D40" s="2">
        <v>5</v>
      </c>
      <c r="E40" s="1" t="s">
        <v>691</v>
      </c>
      <c r="F40" s="1"/>
      <c r="G40" s="1"/>
    </row>
    <row r="41" spans="1:7" x14ac:dyDescent="0.25">
      <c r="A41" s="1" t="s">
        <v>151</v>
      </c>
      <c r="B41" s="1" t="s">
        <v>703</v>
      </c>
      <c r="C41" s="1" t="s">
        <v>290</v>
      </c>
      <c r="D41" s="2">
        <v>5</v>
      </c>
      <c r="E41" s="1" t="s">
        <v>691</v>
      </c>
      <c r="F41" s="1"/>
      <c r="G41" s="1"/>
    </row>
    <row r="42" spans="1:7" x14ac:dyDescent="0.25">
      <c r="A42" s="1" t="s">
        <v>151</v>
      </c>
      <c r="B42" s="1" t="s">
        <v>703</v>
      </c>
      <c r="C42" s="1" t="s">
        <v>291</v>
      </c>
      <c r="D42" s="2">
        <v>5</v>
      </c>
      <c r="E42" s="1" t="s">
        <v>691</v>
      </c>
      <c r="F42" s="1"/>
      <c r="G42" s="1"/>
    </row>
    <row r="43" spans="1:7" x14ac:dyDescent="0.25">
      <c r="A43" s="1" t="s">
        <v>58</v>
      </c>
      <c r="B43" s="166" t="s">
        <v>383</v>
      </c>
      <c r="C43" s="1" t="s">
        <v>189</v>
      </c>
      <c r="D43" s="2">
        <v>5</v>
      </c>
      <c r="E43" s="1" t="s">
        <v>685</v>
      </c>
      <c r="F43" s="1"/>
      <c r="G43" s="1"/>
    </row>
    <row r="44" spans="1:7" x14ac:dyDescent="0.25">
      <c r="A44" s="1" t="s">
        <v>151</v>
      </c>
      <c r="B44" s="1" t="s">
        <v>703</v>
      </c>
      <c r="C44" s="1" t="s">
        <v>292</v>
      </c>
      <c r="D44" s="2">
        <v>5</v>
      </c>
      <c r="E44" s="1" t="s">
        <v>691</v>
      </c>
      <c r="F44" s="1"/>
      <c r="G44" s="1"/>
    </row>
    <row r="45" spans="1:7" x14ac:dyDescent="0.25">
      <c r="A45" s="1" t="s">
        <v>151</v>
      </c>
      <c r="B45" s="1" t="s">
        <v>703</v>
      </c>
      <c r="C45" s="1" t="s">
        <v>293</v>
      </c>
      <c r="D45" s="2">
        <v>5</v>
      </c>
      <c r="E45" s="1" t="s">
        <v>691</v>
      </c>
      <c r="F45" s="1"/>
      <c r="G45" s="1"/>
    </row>
    <row r="46" spans="1:7" x14ac:dyDescent="0.25">
      <c r="A46" s="1" t="s">
        <v>151</v>
      </c>
      <c r="B46" s="1" t="s">
        <v>703</v>
      </c>
      <c r="C46" s="1" t="s">
        <v>294</v>
      </c>
      <c r="D46" s="2">
        <v>5</v>
      </c>
      <c r="E46" s="1" t="s">
        <v>691</v>
      </c>
      <c r="F46" s="1"/>
      <c r="G46" s="1"/>
    </row>
    <row r="47" spans="1:7" x14ac:dyDescent="0.25">
      <c r="A47" s="1" t="s">
        <v>151</v>
      </c>
      <c r="B47" s="1" t="s">
        <v>703</v>
      </c>
      <c r="C47" s="1" t="s">
        <v>295</v>
      </c>
      <c r="D47" s="2">
        <v>5</v>
      </c>
      <c r="E47" s="1" t="s">
        <v>691</v>
      </c>
      <c r="F47" s="1"/>
      <c r="G47" s="1"/>
    </row>
    <row r="48" spans="1:7" x14ac:dyDescent="0.25">
      <c r="A48" s="1" t="s">
        <v>151</v>
      </c>
      <c r="B48" s="1" t="s">
        <v>703</v>
      </c>
      <c r="C48" s="1" t="s">
        <v>296</v>
      </c>
      <c r="D48" s="2">
        <v>5</v>
      </c>
      <c r="E48" s="1" t="s">
        <v>691</v>
      </c>
      <c r="F48" s="1"/>
      <c r="G48" s="1"/>
    </row>
    <row r="49" spans="1:12" x14ac:dyDescent="0.25">
      <c r="A49" s="1" t="s">
        <v>151</v>
      </c>
      <c r="B49" s="1" t="s">
        <v>703</v>
      </c>
      <c r="C49" s="1" t="s">
        <v>297</v>
      </c>
      <c r="D49" s="2">
        <v>5</v>
      </c>
      <c r="E49" s="1" t="s">
        <v>691</v>
      </c>
      <c r="F49" s="1"/>
      <c r="G49" s="1"/>
    </row>
    <row r="50" spans="1:12" x14ac:dyDescent="0.25">
      <c r="A50" s="1" t="s">
        <v>151</v>
      </c>
      <c r="B50" s="1" t="s">
        <v>703</v>
      </c>
      <c r="C50" s="1" t="s">
        <v>298</v>
      </c>
      <c r="D50" s="2">
        <v>5</v>
      </c>
      <c r="E50" s="1" t="s">
        <v>691</v>
      </c>
      <c r="F50" s="1"/>
      <c r="G50" s="1"/>
    </row>
    <row r="51" spans="1:12" x14ac:dyDescent="0.25">
      <c r="A51" s="1" t="s">
        <v>151</v>
      </c>
      <c r="B51" s="169" t="s">
        <v>704</v>
      </c>
      <c r="C51" s="1" t="s">
        <v>299</v>
      </c>
      <c r="D51" s="2">
        <v>5</v>
      </c>
      <c r="E51" s="1" t="s">
        <v>691</v>
      </c>
      <c r="F51" s="1"/>
      <c r="G51" s="1"/>
    </row>
    <row r="52" spans="1:12" x14ac:dyDescent="0.25">
      <c r="A52" s="1" t="s">
        <v>151</v>
      </c>
      <c r="B52" s="169" t="s">
        <v>704</v>
      </c>
      <c r="C52" s="1" t="s">
        <v>300</v>
      </c>
      <c r="D52" s="2">
        <v>5</v>
      </c>
      <c r="E52" s="1" t="s">
        <v>691</v>
      </c>
      <c r="F52" s="1"/>
      <c r="G52" s="1"/>
    </row>
    <row r="53" spans="1:12" x14ac:dyDescent="0.25">
      <c r="A53" s="1" t="s">
        <v>151</v>
      </c>
      <c r="B53" s="169" t="s">
        <v>704</v>
      </c>
      <c r="C53" s="1" t="s">
        <v>301</v>
      </c>
      <c r="D53" s="2">
        <v>5</v>
      </c>
      <c r="E53" s="1" t="s">
        <v>691</v>
      </c>
      <c r="F53" s="1"/>
      <c r="G53" s="1"/>
    </row>
    <row r="54" spans="1:12" x14ac:dyDescent="0.25">
      <c r="A54" s="1" t="s">
        <v>58</v>
      </c>
      <c r="B54" s="166" t="s">
        <v>383</v>
      </c>
      <c r="C54" s="1" t="s">
        <v>190</v>
      </c>
      <c r="D54" s="2">
        <v>5</v>
      </c>
      <c r="E54" s="1" t="s">
        <v>686</v>
      </c>
      <c r="F54" s="1"/>
      <c r="G54" s="1"/>
    </row>
    <row r="55" spans="1:12" s="158" customFormat="1" x14ac:dyDescent="0.25">
      <c r="A55" s="1" t="s">
        <v>151</v>
      </c>
      <c r="B55" s="169" t="s">
        <v>704</v>
      </c>
      <c r="C55" s="1" t="s">
        <v>302</v>
      </c>
      <c r="D55" s="2">
        <v>5</v>
      </c>
      <c r="E55" s="1" t="s">
        <v>691</v>
      </c>
      <c r="F55" s="1"/>
      <c r="G55" s="1"/>
      <c r="L55" s="179"/>
    </row>
    <row r="56" spans="1:12" x14ac:dyDescent="0.25">
      <c r="A56" s="1" t="s">
        <v>151</v>
      </c>
      <c r="B56" s="169" t="s">
        <v>704</v>
      </c>
      <c r="C56" s="1" t="s">
        <v>303</v>
      </c>
      <c r="D56" s="2">
        <v>5</v>
      </c>
      <c r="E56" s="1" t="s">
        <v>691</v>
      </c>
      <c r="F56" s="1"/>
      <c r="G56" s="1"/>
    </row>
    <row r="57" spans="1:12" x14ac:dyDescent="0.25">
      <c r="A57" s="1" t="s">
        <v>151</v>
      </c>
      <c r="B57" s="169" t="s">
        <v>704</v>
      </c>
      <c r="C57" s="1" t="s">
        <v>304</v>
      </c>
      <c r="D57" s="2">
        <v>5</v>
      </c>
      <c r="E57" s="1" t="s">
        <v>691</v>
      </c>
      <c r="F57" s="1"/>
      <c r="G57" s="1"/>
    </row>
    <row r="58" spans="1:12" x14ac:dyDescent="0.25">
      <c r="A58" s="1" t="s">
        <v>151</v>
      </c>
      <c r="B58" s="169" t="s">
        <v>704</v>
      </c>
      <c r="C58" s="1" t="s">
        <v>305</v>
      </c>
      <c r="D58" s="2">
        <v>5</v>
      </c>
      <c r="E58" s="1" t="s">
        <v>691</v>
      </c>
      <c r="F58" s="1"/>
      <c r="G58" s="1"/>
    </row>
    <row r="59" spans="1:12" x14ac:dyDescent="0.25">
      <c r="A59" s="1" t="s">
        <v>151</v>
      </c>
      <c r="B59" s="169" t="s">
        <v>704</v>
      </c>
      <c r="C59" s="1" t="s">
        <v>306</v>
      </c>
      <c r="D59" s="2">
        <v>5</v>
      </c>
      <c r="E59" s="1" t="s">
        <v>481</v>
      </c>
      <c r="F59" s="18">
        <v>3</v>
      </c>
      <c r="G59" s="6" t="s">
        <v>741</v>
      </c>
    </row>
    <row r="60" spans="1:12" x14ac:dyDescent="0.25">
      <c r="A60" s="1" t="s">
        <v>151</v>
      </c>
      <c r="B60" s="169" t="s">
        <v>704</v>
      </c>
      <c r="C60" s="1" t="s">
        <v>307</v>
      </c>
      <c r="D60" s="2">
        <v>5</v>
      </c>
      <c r="E60" s="1" t="s">
        <v>691</v>
      </c>
      <c r="F60" s="1"/>
      <c r="G60" s="1"/>
    </row>
    <row r="61" spans="1:12" x14ac:dyDescent="0.25">
      <c r="A61" s="1" t="s">
        <v>151</v>
      </c>
      <c r="B61" s="169" t="s">
        <v>704</v>
      </c>
      <c r="C61" s="1" t="s">
        <v>308</v>
      </c>
      <c r="D61" s="2">
        <v>5</v>
      </c>
      <c r="E61" s="1" t="s">
        <v>687</v>
      </c>
      <c r="F61" s="1"/>
      <c r="G61" s="1"/>
    </row>
    <row r="62" spans="1:12" x14ac:dyDescent="0.25">
      <c r="A62" s="1" t="s">
        <v>151</v>
      </c>
      <c r="B62" s="169" t="s">
        <v>704</v>
      </c>
      <c r="C62" s="1" t="s">
        <v>309</v>
      </c>
      <c r="D62" s="2">
        <v>5</v>
      </c>
      <c r="E62" s="1" t="s">
        <v>686</v>
      </c>
      <c r="F62" s="1"/>
      <c r="G62" s="1"/>
    </row>
    <row r="63" spans="1:12" x14ac:dyDescent="0.25">
      <c r="A63" s="1" t="s">
        <v>151</v>
      </c>
      <c r="B63" s="169" t="s">
        <v>704</v>
      </c>
      <c r="C63" s="1" t="s">
        <v>310</v>
      </c>
      <c r="D63" s="2">
        <v>5</v>
      </c>
      <c r="E63" s="1" t="s">
        <v>686</v>
      </c>
      <c r="F63" s="1"/>
      <c r="G63" s="1"/>
    </row>
    <row r="64" spans="1:12" x14ac:dyDescent="0.25">
      <c r="A64" s="1" t="s">
        <v>151</v>
      </c>
      <c r="B64" s="169" t="s">
        <v>704</v>
      </c>
      <c r="C64" s="1" t="s">
        <v>311</v>
      </c>
      <c r="D64" s="2">
        <v>5</v>
      </c>
      <c r="E64" s="1" t="s">
        <v>686</v>
      </c>
      <c r="F64" s="1"/>
      <c r="G64" s="1"/>
    </row>
    <row r="65" spans="1:7" x14ac:dyDescent="0.25">
      <c r="A65" s="1" t="s">
        <v>58</v>
      </c>
      <c r="B65" s="166" t="s">
        <v>383</v>
      </c>
      <c r="C65" s="1" t="s">
        <v>191</v>
      </c>
      <c r="D65" s="2">
        <v>5</v>
      </c>
      <c r="E65" s="1" t="s">
        <v>686</v>
      </c>
      <c r="F65" s="1"/>
      <c r="G65" s="1"/>
    </row>
    <row r="66" spans="1:7" x14ac:dyDescent="0.25">
      <c r="A66" s="1" t="s">
        <v>151</v>
      </c>
      <c r="B66" s="1" t="s">
        <v>705</v>
      </c>
      <c r="C66" s="1" t="s">
        <v>312</v>
      </c>
      <c r="D66" s="2">
        <v>5</v>
      </c>
      <c r="E66" s="1" t="s">
        <v>691</v>
      </c>
      <c r="F66" s="1"/>
      <c r="G66" s="1"/>
    </row>
    <row r="67" spans="1:7" x14ac:dyDescent="0.25">
      <c r="A67" s="1" t="s">
        <v>59</v>
      </c>
      <c r="B67" s="1" t="s">
        <v>705</v>
      </c>
      <c r="C67" s="1" t="s">
        <v>313</v>
      </c>
      <c r="D67" s="2">
        <v>5</v>
      </c>
      <c r="E67" s="1" t="s">
        <v>691</v>
      </c>
      <c r="F67" s="1"/>
      <c r="G67" s="1"/>
    </row>
    <row r="68" spans="1:7" x14ac:dyDescent="0.25">
      <c r="A68" s="1" t="s">
        <v>59</v>
      </c>
      <c r="B68" s="1" t="s">
        <v>705</v>
      </c>
      <c r="C68" s="1" t="s">
        <v>314</v>
      </c>
      <c r="D68" s="2">
        <v>5</v>
      </c>
      <c r="E68" s="1" t="s">
        <v>691</v>
      </c>
      <c r="F68" s="1"/>
      <c r="G68" s="1"/>
    </row>
    <row r="69" spans="1:7" x14ac:dyDescent="0.25">
      <c r="A69" s="1" t="s">
        <v>59</v>
      </c>
      <c r="B69" s="1" t="s">
        <v>705</v>
      </c>
      <c r="C69" s="1" t="s">
        <v>315</v>
      </c>
      <c r="D69" s="2">
        <v>5</v>
      </c>
      <c r="E69" s="1" t="s">
        <v>691</v>
      </c>
      <c r="F69" s="1"/>
      <c r="G69" s="1"/>
    </row>
    <row r="70" spans="1:7" x14ac:dyDescent="0.25">
      <c r="A70" s="1" t="s">
        <v>59</v>
      </c>
      <c r="B70" s="1" t="s">
        <v>705</v>
      </c>
      <c r="C70" s="1" t="s">
        <v>316</v>
      </c>
      <c r="D70" s="2">
        <v>5</v>
      </c>
      <c r="E70" s="1" t="s">
        <v>481</v>
      </c>
      <c r="F70" s="2">
        <v>10</v>
      </c>
      <c r="G70" s="6" t="s">
        <v>741</v>
      </c>
    </row>
    <row r="71" spans="1:7" x14ac:dyDescent="0.25">
      <c r="A71" s="1" t="s">
        <v>59</v>
      </c>
      <c r="B71" s="1" t="s">
        <v>705</v>
      </c>
      <c r="C71" s="1" t="s">
        <v>317</v>
      </c>
      <c r="D71" s="2">
        <v>5</v>
      </c>
      <c r="E71" s="1" t="s">
        <v>481</v>
      </c>
      <c r="F71" s="2">
        <v>10</v>
      </c>
      <c r="G71" s="6" t="s">
        <v>741</v>
      </c>
    </row>
    <row r="72" spans="1:7" x14ac:dyDescent="0.25">
      <c r="A72" s="1" t="s">
        <v>59</v>
      </c>
      <c r="B72" s="1" t="s">
        <v>705</v>
      </c>
      <c r="C72" s="1" t="s">
        <v>318</v>
      </c>
      <c r="D72" s="2">
        <v>5</v>
      </c>
      <c r="E72" s="1" t="s">
        <v>481</v>
      </c>
      <c r="F72" s="2">
        <v>1.7</v>
      </c>
      <c r="G72" s="6" t="s">
        <v>741</v>
      </c>
    </row>
    <row r="73" spans="1:7" x14ac:dyDescent="0.25">
      <c r="A73" s="1" t="s">
        <v>59</v>
      </c>
      <c r="B73" s="1" t="s">
        <v>705</v>
      </c>
      <c r="C73" s="1" t="s">
        <v>319</v>
      </c>
      <c r="D73" s="2">
        <v>5</v>
      </c>
      <c r="E73" s="1" t="s">
        <v>691</v>
      </c>
      <c r="F73" s="1"/>
      <c r="G73" s="1"/>
    </row>
    <row r="74" spans="1:7" x14ac:dyDescent="0.25">
      <c r="A74" s="1" t="s">
        <v>58</v>
      </c>
      <c r="B74" s="1" t="s">
        <v>688</v>
      </c>
      <c r="C74" s="1" t="s">
        <v>192</v>
      </c>
      <c r="D74" s="2">
        <v>5</v>
      </c>
      <c r="E74" s="1" t="s">
        <v>686</v>
      </c>
      <c r="F74" s="1"/>
      <c r="G74" s="1"/>
    </row>
    <row r="75" spans="1:7" x14ac:dyDescent="0.25">
      <c r="A75" s="1" t="s">
        <v>59</v>
      </c>
      <c r="B75" s="1" t="s">
        <v>705</v>
      </c>
      <c r="C75" s="1" t="s">
        <v>320</v>
      </c>
      <c r="D75" s="2">
        <v>5</v>
      </c>
      <c r="E75" s="1" t="s">
        <v>691</v>
      </c>
      <c r="F75" s="1"/>
      <c r="G75" s="1"/>
    </row>
    <row r="76" spans="1:7" x14ac:dyDescent="0.25">
      <c r="A76" s="1" t="s">
        <v>59</v>
      </c>
      <c r="B76" s="1" t="s">
        <v>705</v>
      </c>
      <c r="C76" s="1" t="s">
        <v>321</v>
      </c>
      <c r="D76" s="2">
        <v>5</v>
      </c>
      <c r="E76" s="1" t="s">
        <v>691</v>
      </c>
      <c r="F76" s="1"/>
      <c r="G76" s="1"/>
    </row>
    <row r="77" spans="1:7" x14ac:dyDescent="0.25">
      <c r="A77" s="1" t="s">
        <v>59</v>
      </c>
      <c r="B77" s="1" t="s">
        <v>705</v>
      </c>
      <c r="C77" s="1" t="s">
        <v>322</v>
      </c>
      <c r="D77" s="2">
        <v>5</v>
      </c>
      <c r="E77" s="1" t="s">
        <v>691</v>
      </c>
      <c r="F77" s="1"/>
      <c r="G77" s="1"/>
    </row>
    <row r="78" spans="1:7" x14ac:dyDescent="0.25">
      <c r="A78" s="1" t="s">
        <v>59</v>
      </c>
      <c r="B78" s="1" t="s">
        <v>705</v>
      </c>
      <c r="C78" s="1" t="s">
        <v>323</v>
      </c>
      <c r="D78" s="2">
        <v>5</v>
      </c>
      <c r="E78" s="1" t="s">
        <v>481</v>
      </c>
      <c r="F78" s="18">
        <v>1.7</v>
      </c>
      <c r="G78" s="6" t="s">
        <v>741</v>
      </c>
    </row>
    <row r="79" spans="1:7" x14ac:dyDescent="0.25">
      <c r="A79" s="1" t="s">
        <v>59</v>
      </c>
      <c r="B79" s="1" t="s">
        <v>705</v>
      </c>
      <c r="C79" s="1" t="s">
        <v>324</v>
      </c>
      <c r="D79" s="2">
        <v>5</v>
      </c>
      <c r="E79" s="1" t="s">
        <v>481</v>
      </c>
      <c r="F79" s="2">
        <v>4</v>
      </c>
      <c r="G79" s="6" t="s">
        <v>741</v>
      </c>
    </row>
    <row r="80" spans="1:7" x14ac:dyDescent="0.25">
      <c r="A80" s="1" t="s">
        <v>59</v>
      </c>
      <c r="B80" s="1" t="s">
        <v>705</v>
      </c>
      <c r="C80" s="1" t="s">
        <v>325</v>
      </c>
      <c r="D80" s="2">
        <v>5</v>
      </c>
      <c r="E80" s="1" t="s">
        <v>481</v>
      </c>
      <c r="F80" s="2">
        <v>3</v>
      </c>
      <c r="G80" s="6" t="s">
        <v>741</v>
      </c>
    </row>
    <row r="81" spans="1:14" x14ac:dyDescent="0.25">
      <c r="A81" s="1" t="s">
        <v>59</v>
      </c>
      <c r="B81" s="169" t="s">
        <v>710</v>
      </c>
      <c r="C81" s="1" t="s">
        <v>326</v>
      </c>
      <c r="D81" s="2">
        <v>5</v>
      </c>
      <c r="E81" s="1" t="s">
        <v>691</v>
      </c>
      <c r="F81" s="1"/>
      <c r="G81" s="1"/>
      <c r="K81" s="179"/>
      <c r="M81" s="179"/>
      <c r="N81" s="179"/>
    </row>
    <row r="82" spans="1:14" x14ac:dyDescent="0.25">
      <c r="A82" s="1" t="s">
        <v>59</v>
      </c>
      <c r="B82" s="169" t="s">
        <v>710</v>
      </c>
      <c r="C82" s="1" t="s">
        <v>327</v>
      </c>
      <c r="D82" s="2">
        <v>5</v>
      </c>
      <c r="E82" s="1" t="s">
        <v>691</v>
      </c>
      <c r="F82" s="1"/>
      <c r="G82" s="1"/>
      <c r="K82" s="179"/>
      <c r="M82" s="179"/>
      <c r="N82" s="179"/>
    </row>
    <row r="83" spans="1:14" x14ac:dyDescent="0.25">
      <c r="A83" s="1" t="s">
        <v>59</v>
      </c>
      <c r="B83" s="169" t="s">
        <v>710</v>
      </c>
      <c r="C83" s="1" t="s">
        <v>328</v>
      </c>
      <c r="D83" s="2">
        <v>5</v>
      </c>
      <c r="E83" s="1" t="s">
        <v>687</v>
      </c>
      <c r="F83" s="1"/>
      <c r="G83" s="1"/>
      <c r="K83" s="179"/>
      <c r="M83" s="179"/>
      <c r="N83" s="179"/>
    </row>
    <row r="84" spans="1:14" x14ac:dyDescent="0.25">
      <c r="A84" s="1" t="s">
        <v>59</v>
      </c>
      <c r="B84" s="169" t="s">
        <v>710</v>
      </c>
      <c r="C84" s="1" t="s">
        <v>329</v>
      </c>
      <c r="D84" s="2">
        <v>5</v>
      </c>
      <c r="E84" s="1" t="s">
        <v>691</v>
      </c>
      <c r="F84" s="1"/>
      <c r="G84" s="1"/>
      <c r="K84" s="179"/>
      <c r="M84" s="179"/>
      <c r="N84" s="179"/>
    </row>
    <row r="85" spans="1:14" x14ac:dyDescent="0.25">
      <c r="A85" s="1" t="s">
        <v>58</v>
      </c>
      <c r="B85" s="1" t="s">
        <v>688</v>
      </c>
      <c r="C85" s="1" t="s">
        <v>193</v>
      </c>
      <c r="D85" s="2">
        <v>5</v>
      </c>
      <c r="E85" s="1" t="s">
        <v>686</v>
      </c>
      <c r="F85" s="1"/>
      <c r="G85" s="1"/>
      <c r="K85" s="179"/>
      <c r="M85" s="179"/>
      <c r="N85" s="179"/>
    </row>
    <row r="86" spans="1:14" x14ac:dyDescent="0.25">
      <c r="A86" s="1" t="s">
        <v>59</v>
      </c>
      <c r="B86" s="169" t="s">
        <v>710</v>
      </c>
      <c r="C86" s="1" t="s">
        <v>330</v>
      </c>
      <c r="D86" s="2">
        <v>5</v>
      </c>
      <c r="E86" s="1" t="s">
        <v>691</v>
      </c>
      <c r="F86" s="1"/>
      <c r="G86" s="1"/>
      <c r="K86" s="179"/>
      <c r="M86" s="179"/>
      <c r="N86" s="179"/>
    </row>
    <row r="87" spans="1:14" x14ac:dyDescent="0.25">
      <c r="A87" s="1" t="s">
        <v>59</v>
      </c>
      <c r="B87" s="169" t="s">
        <v>710</v>
      </c>
      <c r="C87" s="1" t="s">
        <v>331</v>
      </c>
      <c r="D87" s="2">
        <v>5</v>
      </c>
      <c r="E87" s="1" t="s">
        <v>691</v>
      </c>
      <c r="F87" s="1"/>
      <c r="G87" s="1"/>
      <c r="K87" s="179"/>
      <c r="M87" s="179"/>
      <c r="N87" s="179"/>
    </row>
    <row r="88" spans="1:14" x14ac:dyDescent="0.25">
      <c r="A88" s="1" t="s">
        <v>59</v>
      </c>
      <c r="B88" s="169" t="s">
        <v>710</v>
      </c>
      <c r="C88" s="1" t="s">
        <v>332</v>
      </c>
      <c r="D88" s="2">
        <v>5</v>
      </c>
      <c r="E88" s="1" t="s">
        <v>691</v>
      </c>
      <c r="F88" s="1"/>
      <c r="G88" s="1"/>
      <c r="K88" s="179"/>
      <c r="M88" s="179"/>
      <c r="N88" s="179"/>
    </row>
    <row r="89" spans="1:14" x14ac:dyDescent="0.25">
      <c r="A89" s="1" t="s">
        <v>59</v>
      </c>
      <c r="B89" s="169" t="s">
        <v>710</v>
      </c>
      <c r="C89" s="1" t="s">
        <v>333</v>
      </c>
      <c r="D89" s="2">
        <v>5</v>
      </c>
      <c r="E89" s="1" t="s">
        <v>691</v>
      </c>
      <c r="F89" s="1"/>
      <c r="G89" s="1"/>
      <c r="K89" s="179"/>
      <c r="M89" s="179"/>
      <c r="N89" s="179"/>
    </row>
    <row r="90" spans="1:14" x14ac:dyDescent="0.25">
      <c r="A90" s="1" t="s">
        <v>59</v>
      </c>
      <c r="B90" s="169" t="s">
        <v>710</v>
      </c>
      <c r="C90" s="1" t="s">
        <v>334</v>
      </c>
      <c r="D90" s="2">
        <v>5</v>
      </c>
      <c r="E90" s="1" t="s">
        <v>691</v>
      </c>
      <c r="F90" s="1"/>
      <c r="G90" s="1"/>
      <c r="K90" s="179"/>
      <c r="M90" s="179"/>
      <c r="N90" s="179"/>
    </row>
    <row r="91" spans="1:14" x14ac:dyDescent="0.25">
      <c r="A91" s="1" t="s">
        <v>59</v>
      </c>
      <c r="B91" s="169" t="s">
        <v>710</v>
      </c>
      <c r="C91" s="1" t="s">
        <v>335</v>
      </c>
      <c r="D91" s="2">
        <v>5</v>
      </c>
      <c r="E91" s="1" t="s">
        <v>691</v>
      </c>
      <c r="F91" s="1"/>
      <c r="G91" s="1"/>
      <c r="K91" s="179"/>
      <c r="M91" s="179"/>
    </row>
    <row r="92" spans="1:14" x14ac:dyDescent="0.25">
      <c r="A92" s="1" t="s">
        <v>59</v>
      </c>
      <c r="B92" s="1" t="s">
        <v>711</v>
      </c>
      <c r="C92" s="1" t="s">
        <v>336</v>
      </c>
      <c r="D92" s="2">
        <v>5</v>
      </c>
      <c r="E92" s="1" t="s">
        <v>691</v>
      </c>
      <c r="F92" s="1"/>
      <c r="G92" s="1"/>
    </row>
    <row r="93" spans="1:14" x14ac:dyDescent="0.25">
      <c r="A93" s="1" t="s">
        <v>59</v>
      </c>
      <c r="B93" s="1" t="s">
        <v>711</v>
      </c>
      <c r="C93" s="1" t="s">
        <v>337</v>
      </c>
      <c r="D93" s="2">
        <v>5</v>
      </c>
      <c r="E93" s="1" t="s">
        <v>691</v>
      </c>
      <c r="F93" s="1"/>
      <c r="G93" s="1"/>
    </row>
    <row r="94" spans="1:14" x14ac:dyDescent="0.25">
      <c r="A94" s="1" t="s">
        <v>59</v>
      </c>
      <c r="B94" s="1" t="s">
        <v>711</v>
      </c>
      <c r="C94" s="1" t="s">
        <v>338</v>
      </c>
      <c r="D94" s="2">
        <v>5</v>
      </c>
      <c r="E94" s="1" t="s">
        <v>691</v>
      </c>
      <c r="F94" s="1"/>
      <c r="G94" s="1"/>
    </row>
    <row r="95" spans="1:14" x14ac:dyDescent="0.25">
      <c r="A95" s="1" t="s">
        <v>59</v>
      </c>
      <c r="B95" s="1" t="s">
        <v>711</v>
      </c>
      <c r="C95" s="1" t="s">
        <v>339</v>
      </c>
      <c r="D95" s="2">
        <v>5</v>
      </c>
      <c r="E95" s="1" t="s">
        <v>691</v>
      </c>
      <c r="F95" s="1"/>
      <c r="G95" s="1"/>
    </row>
    <row r="96" spans="1:14" x14ac:dyDescent="0.25">
      <c r="A96" s="1" t="s">
        <v>58</v>
      </c>
      <c r="B96" s="1" t="s">
        <v>688</v>
      </c>
      <c r="C96" s="1" t="s">
        <v>194</v>
      </c>
      <c r="D96" s="2">
        <v>5</v>
      </c>
      <c r="E96" s="1" t="s">
        <v>686</v>
      </c>
      <c r="F96" s="1"/>
      <c r="G96" s="1"/>
    </row>
    <row r="97" spans="1:9" x14ac:dyDescent="0.25">
      <c r="A97" s="1" t="s">
        <v>59</v>
      </c>
      <c r="B97" s="1" t="s">
        <v>711</v>
      </c>
      <c r="C97" s="1" t="s">
        <v>340</v>
      </c>
      <c r="D97" s="2">
        <v>5</v>
      </c>
      <c r="E97" s="1" t="s">
        <v>691</v>
      </c>
      <c r="F97" s="1"/>
      <c r="G97" s="1"/>
    </row>
    <row r="98" spans="1:9" x14ac:dyDescent="0.25">
      <c r="A98" s="1" t="s">
        <v>59</v>
      </c>
      <c r="B98" s="1" t="s">
        <v>711</v>
      </c>
      <c r="C98" s="1" t="s">
        <v>341</v>
      </c>
      <c r="D98" s="2">
        <v>5</v>
      </c>
      <c r="E98" s="1" t="s">
        <v>691</v>
      </c>
      <c r="F98" s="1"/>
      <c r="G98" s="1"/>
      <c r="H98" s="76"/>
      <c r="I98" s="76"/>
    </row>
    <row r="99" spans="1:9" x14ac:dyDescent="0.25">
      <c r="A99" s="1" t="s">
        <v>59</v>
      </c>
      <c r="B99" s="1" t="s">
        <v>711</v>
      </c>
      <c r="C99" s="1" t="s">
        <v>342</v>
      </c>
      <c r="D99" s="2">
        <v>5</v>
      </c>
      <c r="E99" s="1" t="s">
        <v>691</v>
      </c>
      <c r="F99" s="1"/>
      <c r="G99" s="1"/>
      <c r="H99" s="76"/>
      <c r="I99" s="76"/>
    </row>
    <row r="100" spans="1:9" x14ac:dyDescent="0.25">
      <c r="A100" s="1" t="s">
        <v>59</v>
      </c>
      <c r="B100" s="1" t="s">
        <v>711</v>
      </c>
      <c r="C100" s="1" t="s">
        <v>343</v>
      </c>
      <c r="D100" s="2">
        <v>5</v>
      </c>
      <c r="E100" s="1" t="s">
        <v>691</v>
      </c>
      <c r="F100" s="1"/>
      <c r="G100" s="1"/>
      <c r="H100" s="76"/>
      <c r="I100" s="76"/>
    </row>
    <row r="101" spans="1:9" x14ac:dyDescent="0.25">
      <c r="A101" s="1" t="s">
        <v>59</v>
      </c>
      <c r="B101" s="1" t="s">
        <v>711</v>
      </c>
      <c r="C101" s="1" t="s">
        <v>344</v>
      </c>
      <c r="D101" s="2">
        <v>5</v>
      </c>
      <c r="E101" s="1" t="s">
        <v>691</v>
      </c>
      <c r="F101" s="1"/>
      <c r="G101" s="1"/>
      <c r="H101" s="76"/>
      <c r="I101" s="76"/>
    </row>
    <row r="102" spans="1:9" x14ac:dyDescent="0.25">
      <c r="A102" s="1" t="s">
        <v>59</v>
      </c>
      <c r="B102" s="1" t="s">
        <v>711</v>
      </c>
      <c r="C102" s="1" t="s">
        <v>345</v>
      </c>
      <c r="D102" s="2">
        <v>5</v>
      </c>
      <c r="E102" s="1" t="s">
        <v>691</v>
      </c>
      <c r="F102" s="1"/>
      <c r="G102" s="1"/>
      <c r="H102" s="76"/>
      <c r="I102" s="76"/>
    </row>
    <row r="103" spans="1:9" x14ac:dyDescent="0.25">
      <c r="A103" s="1" t="s">
        <v>59</v>
      </c>
      <c r="B103" s="1" t="s">
        <v>711</v>
      </c>
      <c r="C103" s="1" t="s">
        <v>346</v>
      </c>
      <c r="D103" s="2">
        <v>5</v>
      </c>
      <c r="E103" s="1" t="s">
        <v>691</v>
      </c>
      <c r="F103" s="1"/>
      <c r="G103" s="1"/>
      <c r="H103" s="76"/>
      <c r="I103" s="76"/>
    </row>
    <row r="104" spans="1:9" x14ac:dyDescent="0.25">
      <c r="A104" s="1" t="s">
        <v>59</v>
      </c>
      <c r="B104" s="1" t="s">
        <v>711</v>
      </c>
      <c r="C104" s="1" t="s">
        <v>347</v>
      </c>
      <c r="D104" s="2">
        <v>5</v>
      </c>
      <c r="E104" s="1" t="s">
        <v>691</v>
      </c>
      <c r="F104" s="1"/>
      <c r="G104" s="1"/>
      <c r="H104" s="76"/>
      <c r="I104" s="76"/>
    </row>
    <row r="105" spans="1:9" x14ac:dyDescent="0.25">
      <c r="A105" s="1" t="s">
        <v>59</v>
      </c>
      <c r="B105" s="1" t="s">
        <v>711</v>
      </c>
      <c r="C105" s="1" t="s">
        <v>348</v>
      </c>
      <c r="D105" s="2">
        <v>5</v>
      </c>
      <c r="E105" s="1" t="s">
        <v>691</v>
      </c>
      <c r="F105" s="1"/>
      <c r="G105" s="1"/>
      <c r="H105" s="76"/>
      <c r="I105" s="76"/>
    </row>
    <row r="106" spans="1:9" x14ac:dyDescent="0.25">
      <c r="A106" s="1" t="s">
        <v>59</v>
      </c>
      <c r="B106" s="1" t="s">
        <v>711</v>
      </c>
      <c r="C106" s="1" t="s">
        <v>349</v>
      </c>
      <c r="D106" s="2">
        <v>5</v>
      </c>
      <c r="E106" s="1" t="s">
        <v>691</v>
      </c>
      <c r="F106" s="1"/>
      <c r="G106" s="1"/>
      <c r="H106" s="76"/>
      <c r="I106" s="76"/>
    </row>
    <row r="107" spans="1:9" x14ac:dyDescent="0.25">
      <c r="A107" s="1" t="s">
        <v>58</v>
      </c>
      <c r="B107" s="1" t="s">
        <v>688</v>
      </c>
      <c r="C107" s="1" t="s">
        <v>195</v>
      </c>
      <c r="D107" s="2">
        <v>5</v>
      </c>
      <c r="E107" s="1" t="s">
        <v>686</v>
      </c>
      <c r="F107" s="1"/>
      <c r="G107" s="1"/>
      <c r="H107" s="76"/>
      <c r="I107" s="76"/>
    </row>
    <row r="108" spans="1:9" x14ac:dyDescent="0.25">
      <c r="A108" s="1" t="s">
        <v>59</v>
      </c>
      <c r="B108" s="1" t="s">
        <v>711</v>
      </c>
      <c r="C108" s="1" t="s">
        <v>350</v>
      </c>
      <c r="D108" s="2">
        <v>5</v>
      </c>
      <c r="E108" s="1" t="s">
        <v>691</v>
      </c>
      <c r="F108" s="1"/>
      <c r="G108" s="1"/>
      <c r="H108" s="76"/>
      <c r="I108" s="76"/>
    </row>
    <row r="109" spans="1:9" x14ac:dyDescent="0.25">
      <c r="A109" s="1" t="s">
        <v>59</v>
      </c>
      <c r="B109" s="1" t="s">
        <v>712</v>
      </c>
      <c r="C109" s="1" t="s">
        <v>351</v>
      </c>
      <c r="D109" s="2">
        <v>5</v>
      </c>
      <c r="E109" s="1" t="s">
        <v>691</v>
      </c>
      <c r="F109" s="1"/>
      <c r="G109" s="1"/>
    </row>
    <row r="110" spans="1:9" x14ac:dyDescent="0.25">
      <c r="A110" s="1" t="s">
        <v>59</v>
      </c>
      <c r="B110" s="1" t="s">
        <v>712</v>
      </c>
      <c r="C110" s="1" t="s">
        <v>352</v>
      </c>
      <c r="D110" s="2">
        <v>5</v>
      </c>
      <c r="E110" s="1" t="s">
        <v>691</v>
      </c>
      <c r="F110" s="1"/>
      <c r="G110" s="1"/>
    </row>
    <row r="111" spans="1:9" x14ac:dyDescent="0.25">
      <c r="A111" s="1" t="s">
        <v>59</v>
      </c>
      <c r="B111" s="1" t="s">
        <v>712</v>
      </c>
      <c r="C111" s="1" t="s">
        <v>353</v>
      </c>
      <c r="D111" s="2">
        <v>5</v>
      </c>
      <c r="E111" s="1" t="s">
        <v>691</v>
      </c>
      <c r="F111" s="1"/>
      <c r="G111" s="1"/>
    </row>
    <row r="112" spans="1:9" x14ac:dyDescent="0.25">
      <c r="A112" s="1" t="s">
        <v>59</v>
      </c>
      <c r="B112" s="1" t="s">
        <v>712</v>
      </c>
      <c r="C112" s="1" t="s">
        <v>354</v>
      </c>
      <c r="D112" s="2">
        <v>5</v>
      </c>
      <c r="E112" s="1" t="s">
        <v>691</v>
      </c>
      <c r="F112" s="1"/>
      <c r="G112" s="1"/>
    </row>
    <row r="113" spans="1:7" x14ac:dyDescent="0.25">
      <c r="A113" s="1" t="s">
        <v>59</v>
      </c>
      <c r="B113" s="1" t="s">
        <v>712</v>
      </c>
      <c r="C113" s="1" t="s">
        <v>355</v>
      </c>
      <c r="D113" s="2">
        <v>5</v>
      </c>
      <c r="E113" s="1" t="s">
        <v>691</v>
      </c>
      <c r="F113" s="1"/>
      <c r="G113" s="1"/>
    </row>
    <row r="114" spans="1:7" x14ac:dyDescent="0.25">
      <c r="A114" s="1" t="s">
        <v>59</v>
      </c>
      <c r="B114" s="1" t="s">
        <v>712</v>
      </c>
      <c r="C114" s="1" t="s">
        <v>356</v>
      </c>
      <c r="D114" s="2">
        <v>5</v>
      </c>
      <c r="E114" s="1" t="s">
        <v>481</v>
      </c>
      <c r="F114" s="2">
        <v>3</v>
      </c>
      <c r="G114" s="6" t="s">
        <v>741</v>
      </c>
    </row>
    <row r="115" spans="1:7" x14ac:dyDescent="0.25">
      <c r="A115" s="1" t="s">
        <v>59</v>
      </c>
      <c r="B115" s="1" t="s">
        <v>712</v>
      </c>
      <c r="C115" s="1" t="s">
        <v>357</v>
      </c>
      <c r="D115" s="2">
        <v>5</v>
      </c>
      <c r="E115" s="1" t="s">
        <v>481</v>
      </c>
      <c r="F115" s="2">
        <v>15</v>
      </c>
      <c r="G115" s="6" t="s">
        <v>741</v>
      </c>
    </row>
    <row r="116" spans="1:7" x14ac:dyDescent="0.25">
      <c r="A116" s="1" t="s">
        <v>59</v>
      </c>
      <c r="B116" s="1" t="s">
        <v>712</v>
      </c>
      <c r="C116" s="1" t="s">
        <v>358</v>
      </c>
      <c r="D116" s="2">
        <v>5</v>
      </c>
      <c r="E116" s="1" t="s">
        <v>481</v>
      </c>
      <c r="F116" s="18">
        <v>3</v>
      </c>
      <c r="G116" s="6" t="s">
        <v>741</v>
      </c>
    </row>
    <row r="117" spans="1:7" x14ac:dyDescent="0.25">
      <c r="A117" s="1" t="s">
        <v>59</v>
      </c>
      <c r="B117" s="1" t="s">
        <v>712</v>
      </c>
      <c r="C117" s="1" t="s">
        <v>359</v>
      </c>
      <c r="D117" s="2">
        <v>5</v>
      </c>
      <c r="E117" s="1" t="s">
        <v>691</v>
      </c>
      <c r="F117" s="1"/>
      <c r="G117" s="1"/>
    </row>
    <row r="118" spans="1:7" x14ac:dyDescent="0.25">
      <c r="A118" s="1" t="s">
        <v>58</v>
      </c>
      <c r="B118" s="1" t="s">
        <v>688</v>
      </c>
      <c r="C118" s="1" t="s">
        <v>196</v>
      </c>
      <c r="D118" s="2">
        <v>5</v>
      </c>
      <c r="E118" s="1" t="s">
        <v>686</v>
      </c>
      <c r="F118" s="1"/>
      <c r="G118" s="1"/>
    </row>
    <row r="119" spans="1:7" x14ac:dyDescent="0.25">
      <c r="A119" s="1" t="s">
        <v>59</v>
      </c>
      <c r="B119" s="1" t="s">
        <v>712</v>
      </c>
      <c r="C119" s="1" t="s">
        <v>360</v>
      </c>
      <c r="D119" s="2">
        <v>5</v>
      </c>
      <c r="E119" s="1" t="s">
        <v>691</v>
      </c>
      <c r="F119" s="1"/>
      <c r="G119" s="1"/>
    </row>
    <row r="120" spans="1:7" x14ac:dyDescent="0.25">
      <c r="A120" s="1" t="s">
        <v>59</v>
      </c>
      <c r="B120" s="1" t="s">
        <v>712</v>
      </c>
      <c r="C120" s="1" t="s">
        <v>361</v>
      </c>
      <c r="D120" s="2">
        <v>5</v>
      </c>
      <c r="E120" s="1" t="s">
        <v>691</v>
      </c>
      <c r="F120" s="1"/>
      <c r="G120" s="1"/>
    </row>
    <row r="121" spans="1:7" x14ac:dyDescent="0.25">
      <c r="A121" s="1" t="s">
        <v>59</v>
      </c>
      <c r="B121" s="1" t="s">
        <v>712</v>
      </c>
      <c r="C121" s="1" t="s">
        <v>362</v>
      </c>
      <c r="D121" s="2">
        <v>5</v>
      </c>
      <c r="E121" s="1" t="s">
        <v>691</v>
      </c>
      <c r="F121" s="1"/>
      <c r="G121" s="1"/>
    </row>
    <row r="122" spans="1:7" ht="13.9" customHeight="1" x14ac:dyDescent="0.25">
      <c r="A122" s="1" t="s">
        <v>59</v>
      </c>
      <c r="B122" s="1" t="s">
        <v>712</v>
      </c>
      <c r="C122" s="1" t="s">
        <v>363</v>
      </c>
      <c r="D122" s="2">
        <v>5</v>
      </c>
      <c r="E122" s="1" t="s">
        <v>691</v>
      </c>
      <c r="F122" s="1"/>
      <c r="G122" s="1"/>
    </row>
    <row r="123" spans="1:7" x14ac:dyDescent="0.25">
      <c r="A123" s="1" t="s">
        <v>59</v>
      </c>
      <c r="B123" s="1" t="s">
        <v>712</v>
      </c>
      <c r="C123" s="1" t="s">
        <v>364</v>
      </c>
      <c r="D123" s="2">
        <v>5</v>
      </c>
      <c r="E123" s="1" t="s">
        <v>691</v>
      </c>
      <c r="F123" s="1"/>
      <c r="G123" s="1"/>
    </row>
    <row r="124" spans="1:7" x14ac:dyDescent="0.25">
      <c r="A124" s="1" t="s">
        <v>59</v>
      </c>
      <c r="B124" s="1" t="s">
        <v>709</v>
      </c>
      <c r="C124" s="1" t="s">
        <v>365</v>
      </c>
      <c r="D124" s="2">
        <v>5</v>
      </c>
      <c r="E124" s="1" t="s">
        <v>697</v>
      </c>
      <c r="F124" s="1"/>
      <c r="G124" s="1"/>
    </row>
    <row r="125" spans="1:7" x14ac:dyDescent="0.25">
      <c r="A125" s="1" t="s">
        <v>59</v>
      </c>
      <c r="B125" s="1" t="s">
        <v>709</v>
      </c>
      <c r="C125" s="1" t="s">
        <v>366</v>
      </c>
      <c r="D125" s="2">
        <v>5</v>
      </c>
      <c r="E125" s="1" t="s">
        <v>697</v>
      </c>
      <c r="F125" s="1"/>
      <c r="G125" s="1"/>
    </row>
    <row r="126" spans="1:7" x14ac:dyDescent="0.25">
      <c r="A126" s="1" t="s">
        <v>59</v>
      </c>
      <c r="B126" s="1" t="s">
        <v>709</v>
      </c>
      <c r="C126" s="1" t="s">
        <v>367</v>
      </c>
      <c r="D126" s="2">
        <v>5</v>
      </c>
      <c r="E126" s="1" t="s">
        <v>697</v>
      </c>
      <c r="F126" s="1"/>
      <c r="G126" s="1"/>
    </row>
    <row r="127" spans="1:7" x14ac:dyDescent="0.25">
      <c r="A127" s="1" t="s">
        <v>59</v>
      </c>
      <c r="B127" s="1" t="s">
        <v>709</v>
      </c>
      <c r="C127" s="1" t="s">
        <v>368</v>
      </c>
      <c r="D127" s="2">
        <v>5</v>
      </c>
      <c r="E127" s="1" t="s">
        <v>697</v>
      </c>
      <c r="F127" s="1"/>
      <c r="G127" s="1"/>
    </row>
    <row r="128" spans="1:7" x14ac:dyDescent="0.25">
      <c r="A128" s="1" t="s">
        <v>59</v>
      </c>
      <c r="B128" s="1" t="s">
        <v>709</v>
      </c>
      <c r="C128" s="1" t="s">
        <v>369</v>
      </c>
      <c r="D128" s="2">
        <v>5</v>
      </c>
      <c r="E128" s="1" t="s">
        <v>697</v>
      </c>
      <c r="F128" s="1"/>
      <c r="G128" s="1"/>
    </row>
    <row r="129" spans="1:7" x14ac:dyDescent="0.25">
      <c r="A129" s="1" t="s">
        <v>58</v>
      </c>
      <c r="B129" s="1" t="s">
        <v>688</v>
      </c>
      <c r="C129" s="1" t="s">
        <v>197</v>
      </c>
      <c r="D129" s="2">
        <v>5</v>
      </c>
      <c r="E129" s="1" t="s">
        <v>686</v>
      </c>
      <c r="F129" s="1"/>
      <c r="G129" s="1"/>
    </row>
    <row r="130" spans="1:7" x14ac:dyDescent="0.25">
      <c r="A130" s="1" t="s">
        <v>59</v>
      </c>
      <c r="B130" s="1" t="s">
        <v>709</v>
      </c>
      <c r="C130" s="1" t="s">
        <v>370</v>
      </c>
      <c r="D130" s="2">
        <v>5</v>
      </c>
      <c r="E130" s="1" t="s">
        <v>697</v>
      </c>
      <c r="F130" s="1"/>
      <c r="G130" s="1"/>
    </row>
    <row r="131" spans="1:7" x14ac:dyDescent="0.25">
      <c r="A131" s="1" t="s">
        <v>59</v>
      </c>
      <c r="B131" s="1" t="s">
        <v>709</v>
      </c>
      <c r="C131" s="1" t="s">
        <v>371</v>
      </c>
      <c r="D131" s="2">
        <v>5</v>
      </c>
      <c r="E131" s="1" t="s">
        <v>697</v>
      </c>
      <c r="F131" s="1"/>
      <c r="G131" s="1"/>
    </row>
    <row r="132" spans="1:7" x14ac:dyDescent="0.25">
      <c r="A132" s="1" t="s">
        <v>59</v>
      </c>
      <c r="B132" s="1" t="s">
        <v>709</v>
      </c>
      <c r="C132" s="1" t="s">
        <v>372</v>
      </c>
      <c r="D132" s="2">
        <v>5</v>
      </c>
      <c r="E132" s="1" t="s">
        <v>697</v>
      </c>
      <c r="F132" s="1"/>
      <c r="G132" s="1"/>
    </row>
    <row r="133" spans="1:7" x14ac:dyDescent="0.25">
      <c r="A133" s="1" t="s">
        <v>59</v>
      </c>
      <c r="B133" s="1" t="s">
        <v>709</v>
      </c>
      <c r="C133" s="1" t="s">
        <v>373</v>
      </c>
      <c r="D133" s="2">
        <v>5</v>
      </c>
      <c r="E133" s="1" t="s">
        <v>697</v>
      </c>
      <c r="F133" s="1"/>
      <c r="G133" s="1"/>
    </row>
    <row r="134" spans="1:7" x14ac:dyDescent="0.25">
      <c r="A134" s="1" t="s">
        <v>59</v>
      </c>
      <c r="B134" s="1" t="s">
        <v>709</v>
      </c>
      <c r="C134" s="1" t="s">
        <v>374</v>
      </c>
      <c r="D134" s="2">
        <v>5</v>
      </c>
      <c r="E134" s="1" t="s">
        <v>697</v>
      </c>
      <c r="F134" s="1"/>
      <c r="G134" s="1"/>
    </row>
    <row r="135" spans="1:7" x14ac:dyDescent="0.25">
      <c r="A135" s="1" t="s">
        <v>59</v>
      </c>
      <c r="B135" s="1" t="s">
        <v>709</v>
      </c>
      <c r="C135" s="1" t="s">
        <v>375</v>
      </c>
      <c r="D135" s="2">
        <v>5</v>
      </c>
      <c r="E135" s="1" t="s">
        <v>697</v>
      </c>
      <c r="F135" s="1"/>
      <c r="G135" s="1"/>
    </row>
    <row r="136" spans="1:7" x14ac:dyDescent="0.25">
      <c r="A136" s="1" t="s">
        <v>59</v>
      </c>
      <c r="B136" s="1" t="s">
        <v>709</v>
      </c>
      <c r="C136" s="1" t="s">
        <v>376</v>
      </c>
      <c r="D136" s="2">
        <v>5</v>
      </c>
      <c r="E136" s="1" t="s">
        <v>697</v>
      </c>
      <c r="F136" s="1"/>
      <c r="G136" s="1"/>
    </row>
    <row r="137" spans="1:7" x14ac:dyDescent="0.25">
      <c r="A137" s="1" t="s">
        <v>59</v>
      </c>
      <c r="B137" s="1" t="s">
        <v>709</v>
      </c>
      <c r="C137" s="1" t="s">
        <v>377</v>
      </c>
      <c r="D137" s="2">
        <v>5</v>
      </c>
      <c r="E137" s="1" t="s">
        <v>697</v>
      </c>
      <c r="F137" s="1"/>
      <c r="G137" s="1"/>
    </row>
    <row r="138" spans="1:7" x14ac:dyDescent="0.25">
      <c r="A138" s="1" t="s">
        <v>59</v>
      </c>
      <c r="B138" s="1" t="s">
        <v>709</v>
      </c>
      <c r="C138" s="1" t="s">
        <v>378</v>
      </c>
      <c r="D138" s="2">
        <v>5</v>
      </c>
      <c r="E138" s="1" t="s">
        <v>697</v>
      </c>
      <c r="F138" s="1"/>
      <c r="G138" s="1"/>
    </row>
    <row r="139" spans="1:7" x14ac:dyDescent="0.25">
      <c r="A139" s="1" t="s">
        <v>59</v>
      </c>
      <c r="B139" s="1" t="s">
        <v>709</v>
      </c>
      <c r="C139" s="1" t="s">
        <v>379</v>
      </c>
      <c r="D139" s="2">
        <v>5</v>
      </c>
      <c r="E139" s="1" t="s">
        <v>697</v>
      </c>
      <c r="F139" s="1"/>
      <c r="G139" s="1"/>
    </row>
    <row r="140" spans="1:7" x14ac:dyDescent="0.25">
      <c r="A140" s="1" t="s">
        <v>58</v>
      </c>
      <c r="B140" s="1" t="s">
        <v>688</v>
      </c>
      <c r="C140" s="1" t="s">
        <v>198</v>
      </c>
      <c r="D140" s="2">
        <v>5</v>
      </c>
      <c r="E140" s="1" t="s">
        <v>686</v>
      </c>
      <c r="F140" s="1"/>
      <c r="G140" s="1"/>
    </row>
    <row r="141" spans="1:7" x14ac:dyDescent="0.25">
      <c r="A141" s="1" t="s">
        <v>59</v>
      </c>
      <c r="B141" s="1" t="s">
        <v>709</v>
      </c>
      <c r="C141" s="1" t="s">
        <v>380</v>
      </c>
      <c r="D141" s="2">
        <v>5</v>
      </c>
      <c r="E141" s="1" t="s">
        <v>697</v>
      </c>
      <c r="F141" s="1"/>
      <c r="G141" s="1"/>
    </row>
    <row r="142" spans="1:7" x14ac:dyDescent="0.25">
      <c r="A142" s="1" t="s">
        <v>59</v>
      </c>
      <c r="B142" s="1" t="s">
        <v>709</v>
      </c>
      <c r="C142" s="1" t="s">
        <v>381</v>
      </c>
      <c r="D142" s="2">
        <v>5</v>
      </c>
      <c r="E142" s="1" t="s">
        <v>697</v>
      </c>
      <c r="F142" s="1"/>
      <c r="G142" s="1"/>
    </row>
    <row r="143" spans="1:7" x14ac:dyDescent="0.25">
      <c r="A143" s="1" t="s">
        <v>59</v>
      </c>
      <c r="B143" s="1" t="s">
        <v>524</v>
      </c>
      <c r="C143" s="1" t="s">
        <v>382</v>
      </c>
      <c r="D143" s="2">
        <v>5</v>
      </c>
      <c r="E143" s="1" t="s">
        <v>708</v>
      </c>
      <c r="F143" s="2">
        <v>30</v>
      </c>
      <c r="G143" s="6" t="s">
        <v>741</v>
      </c>
    </row>
    <row r="144" spans="1:7" x14ac:dyDescent="0.25">
      <c r="A144" s="1" t="s">
        <v>58</v>
      </c>
      <c r="B144" s="1" t="s">
        <v>688</v>
      </c>
      <c r="C144" s="1" t="s">
        <v>199</v>
      </c>
      <c r="D144" s="2">
        <v>5</v>
      </c>
      <c r="E144" s="1" t="s">
        <v>686</v>
      </c>
      <c r="F144" s="1"/>
      <c r="G144" s="1"/>
    </row>
    <row r="145" spans="1:7" x14ac:dyDescent="0.25">
      <c r="A145" s="1" t="s">
        <v>58</v>
      </c>
      <c r="B145" s="1" t="s">
        <v>688</v>
      </c>
      <c r="C145" s="1" t="s">
        <v>200</v>
      </c>
      <c r="D145" s="2">
        <v>5</v>
      </c>
      <c r="E145" s="1" t="s">
        <v>686</v>
      </c>
      <c r="F145" s="1"/>
      <c r="G145" s="1"/>
    </row>
    <row r="146" spans="1:7" x14ac:dyDescent="0.25">
      <c r="A146" s="1" t="s">
        <v>58</v>
      </c>
      <c r="B146" s="1" t="s">
        <v>688</v>
      </c>
      <c r="C146" s="1" t="s">
        <v>201</v>
      </c>
      <c r="D146" s="2">
        <v>5</v>
      </c>
      <c r="E146" s="1" t="s">
        <v>686</v>
      </c>
      <c r="F146" s="1"/>
      <c r="G146" s="1"/>
    </row>
    <row r="147" spans="1:7" x14ac:dyDescent="0.25">
      <c r="A147" s="1" t="s">
        <v>58</v>
      </c>
      <c r="B147" s="1" t="s">
        <v>688</v>
      </c>
      <c r="C147" s="1" t="s">
        <v>202</v>
      </c>
      <c r="D147" s="2">
        <v>5</v>
      </c>
      <c r="E147" s="1" t="s">
        <v>686</v>
      </c>
      <c r="F147" s="1"/>
      <c r="G147" s="1"/>
    </row>
    <row r="148" spans="1:7" x14ac:dyDescent="0.25">
      <c r="A148" s="1" t="s">
        <v>58</v>
      </c>
      <c r="B148" s="1" t="s">
        <v>688</v>
      </c>
      <c r="C148" s="1" t="s">
        <v>203</v>
      </c>
      <c r="D148" s="2">
        <v>5</v>
      </c>
      <c r="E148" s="1" t="s">
        <v>686</v>
      </c>
      <c r="F148" s="1"/>
      <c r="G148" s="1"/>
    </row>
    <row r="149" spans="1:7" x14ac:dyDescent="0.25">
      <c r="A149" s="1" t="s">
        <v>58</v>
      </c>
      <c r="B149" s="1" t="s">
        <v>688</v>
      </c>
      <c r="C149" s="1" t="s">
        <v>204</v>
      </c>
      <c r="D149" s="2">
        <v>5</v>
      </c>
      <c r="E149" s="1" t="s">
        <v>691</v>
      </c>
      <c r="F149" s="1"/>
      <c r="G149" s="1"/>
    </row>
    <row r="150" spans="1:7" x14ac:dyDescent="0.25">
      <c r="A150" s="1" t="s">
        <v>58</v>
      </c>
      <c r="B150" s="1" t="s">
        <v>688</v>
      </c>
      <c r="C150" s="1" t="s">
        <v>205</v>
      </c>
      <c r="D150" s="2">
        <v>5</v>
      </c>
      <c r="E150" s="1" t="s">
        <v>691</v>
      </c>
      <c r="F150" s="1"/>
      <c r="G150" s="1"/>
    </row>
    <row r="151" spans="1:7" x14ac:dyDescent="0.25">
      <c r="A151" s="1" t="s">
        <v>58</v>
      </c>
      <c r="B151" s="1" t="s">
        <v>688</v>
      </c>
      <c r="C151" s="1" t="s">
        <v>206</v>
      </c>
      <c r="D151" s="2">
        <v>5</v>
      </c>
      <c r="E151" s="1" t="s">
        <v>691</v>
      </c>
      <c r="F151" s="1"/>
      <c r="G151" s="1"/>
    </row>
    <row r="152" spans="1:7" x14ac:dyDescent="0.25">
      <c r="A152" s="1" t="s">
        <v>58</v>
      </c>
      <c r="B152" s="1" t="s">
        <v>688</v>
      </c>
      <c r="C152" s="1" t="s">
        <v>207</v>
      </c>
      <c r="D152" s="2">
        <v>5</v>
      </c>
      <c r="E152" s="1" t="s">
        <v>691</v>
      </c>
      <c r="F152" s="1"/>
      <c r="G152" s="1"/>
    </row>
    <row r="153" spans="1:7" x14ac:dyDescent="0.25">
      <c r="A153" s="1" t="s">
        <v>58</v>
      </c>
      <c r="B153" s="1" t="s">
        <v>688</v>
      </c>
      <c r="C153" s="1" t="s">
        <v>208</v>
      </c>
      <c r="D153" s="2">
        <v>5</v>
      </c>
      <c r="E153" s="1" t="s">
        <v>691</v>
      </c>
      <c r="F153" s="1"/>
      <c r="G153" s="1"/>
    </row>
    <row r="154" spans="1:7" x14ac:dyDescent="0.25">
      <c r="A154" s="1" t="s">
        <v>58</v>
      </c>
      <c r="B154" s="1" t="s">
        <v>688</v>
      </c>
      <c r="C154" s="1" t="s">
        <v>173</v>
      </c>
      <c r="D154" s="2">
        <v>5</v>
      </c>
      <c r="E154" s="1" t="s">
        <v>481</v>
      </c>
      <c r="F154" s="2">
        <v>3.8</v>
      </c>
      <c r="G154" s="6" t="s">
        <v>741</v>
      </c>
    </row>
    <row r="155" spans="1:7" x14ac:dyDescent="0.25">
      <c r="A155" s="1" t="s">
        <v>58</v>
      </c>
      <c r="B155" s="166" t="s">
        <v>689</v>
      </c>
      <c r="C155" s="1" t="s">
        <v>209</v>
      </c>
      <c r="D155" s="2">
        <v>5</v>
      </c>
      <c r="E155" s="1" t="s">
        <v>691</v>
      </c>
      <c r="F155" s="1"/>
      <c r="G155" s="1"/>
    </row>
    <row r="156" spans="1:7" x14ac:dyDescent="0.25">
      <c r="A156" s="1" t="s">
        <v>58</v>
      </c>
      <c r="B156" s="166" t="s">
        <v>689</v>
      </c>
      <c r="C156" s="1" t="s">
        <v>210</v>
      </c>
      <c r="D156" s="2">
        <v>5</v>
      </c>
      <c r="E156" s="1" t="s">
        <v>691</v>
      </c>
      <c r="F156" s="1"/>
      <c r="G156" s="1"/>
    </row>
    <row r="157" spans="1:7" x14ac:dyDescent="0.25">
      <c r="A157" s="1" t="s">
        <v>58</v>
      </c>
      <c r="B157" s="166" t="s">
        <v>689</v>
      </c>
      <c r="C157" s="1" t="s">
        <v>211</v>
      </c>
      <c r="D157" s="2">
        <v>5</v>
      </c>
      <c r="E157" s="1" t="s">
        <v>691</v>
      </c>
      <c r="F157" s="1"/>
      <c r="G157" s="1"/>
    </row>
    <row r="158" spans="1:7" x14ac:dyDescent="0.25">
      <c r="A158" s="1" t="s">
        <v>58</v>
      </c>
      <c r="B158" s="166" t="s">
        <v>689</v>
      </c>
      <c r="C158" s="1" t="s">
        <v>212</v>
      </c>
      <c r="D158" s="2">
        <v>5</v>
      </c>
      <c r="E158" s="1" t="s">
        <v>691</v>
      </c>
      <c r="F158" s="1"/>
      <c r="G158" s="1"/>
    </row>
    <row r="159" spans="1:7" x14ac:dyDescent="0.25">
      <c r="A159" s="1" t="s">
        <v>58</v>
      </c>
      <c r="B159" s="166" t="s">
        <v>689</v>
      </c>
      <c r="C159" s="1" t="s">
        <v>213</v>
      </c>
      <c r="D159" s="2">
        <v>5</v>
      </c>
      <c r="E159" s="1" t="s">
        <v>691</v>
      </c>
      <c r="F159" s="1"/>
      <c r="G159" s="1"/>
    </row>
    <row r="160" spans="1:7" x14ac:dyDescent="0.25">
      <c r="A160" s="1" t="s">
        <v>58</v>
      </c>
      <c r="B160" s="166" t="s">
        <v>689</v>
      </c>
      <c r="C160" s="1" t="s">
        <v>214</v>
      </c>
      <c r="D160" s="2">
        <v>5</v>
      </c>
      <c r="E160" s="1" t="s">
        <v>691</v>
      </c>
      <c r="F160" s="1"/>
      <c r="G160" s="1"/>
    </row>
    <row r="161" spans="1:7" x14ac:dyDescent="0.25">
      <c r="A161" s="1" t="s">
        <v>58</v>
      </c>
      <c r="B161" s="166" t="s">
        <v>689</v>
      </c>
      <c r="C161" s="1" t="s">
        <v>215</v>
      </c>
      <c r="D161" s="2">
        <v>5</v>
      </c>
      <c r="E161" s="1" t="s">
        <v>691</v>
      </c>
      <c r="F161" s="1"/>
      <c r="G161" s="1"/>
    </row>
    <row r="162" spans="1:7" x14ac:dyDescent="0.25">
      <c r="A162" s="1" t="s">
        <v>58</v>
      </c>
      <c r="B162" s="166" t="s">
        <v>689</v>
      </c>
      <c r="C162" s="1" t="s">
        <v>216</v>
      </c>
      <c r="D162" s="2">
        <v>5</v>
      </c>
      <c r="E162" s="1" t="s">
        <v>691</v>
      </c>
      <c r="F162" s="1"/>
      <c r="G162" s="1"/>
    </row>
    <row r="163" spans="1:7" x14ac:dyDescent="0.25">
      <c r="A163" s="1" t="s">
        <v>58</v>
      </c>
      <c r="B163" s="166" t="s">
        <v>689</v>
      </c>
      <c r="C163" s="1" t="s">
        <v>217</v>
      </c>
      <c r="D163" s="2">
        <v>5</v>
      </c>
      <c r="E163" s="1" t="s">
        <v>691</v>
      </c>
      <c r="F163" s="1"/>
      <c r="G163" s="1"/>
    </row>
    <row r="164" spans="1:7" x14ac:dyDescent="0.25">
      <c r="A164" s="1" t="s">
        <v>58</v>
      </c>
      <c r="B164" s="166" t="s">
        <v>689</v>
      </c>
      <c r="C164" s="1" t="s">
        <v>218</v>
      </c>
      <c r="D164" s="2">
        <v>5</v>
      </c>
      <c r="E164" s="1" t="s">
        <v>691</v>
      </c>
      <c r="F164" s="1"/>
      <c r="G164" s="1"/>
    </row>
    <row r="165" spans="1:7" x14ac:dyDescent="0.25">
      <c r="A165" s="1" t="s">
        <v>58</v>
      </c>
      <c r="B165" s="166" t="s">
        <v>689</v>
      </c>
      <c r="C165" s="1" t="s">
        <v>219</v>
      </c>
      <c r="D165" s="2">
        <v>5</v>
      </c>
      <c r="E165" s="1" t="s">
        <v>481</v>
      </c>
      <c r="F165" s="2">
        <v>2.5</v>
      </c>
      <c r="G165" s="6" t="s">
        <v>741</v>
      </c>
    </row>
    <row r="166" spans="1:7" x14ac:dyDescent="0.25">
      <c r="A166" s="1" t="s">
        <v>58</v>
      </c>
      <c r="B166" s="166" t="s">
        <v>689</v>
      </c>
      <c r="C166" s="1" t="s">
        <v>692</v>
      </c>
      <c r="D166" s="2">
        <v>5</v>
      </c>
      <c r="E166" s="1" t="s">
        <v>691</v>
      </c>
      <c r="F166" s="1"/>
      <c r="G166" s="1"/>
    </row>
    <row r="167" spans="1:7" x14ac:dyDescent="0.25">
      <c r="A167" s="1" t="s">
        <v>58</v>
      </c>
      <c r="B167" s="166" t="s">
        <v>689</v>
      </c>
      <c r="C167" s="1" t="s">
        <v>220</v>
      </c>
      <c r="D167" s="2">
        <v>5</v>
      </c>
      <c r="E167" s="1" t="s">
        <v>691</v>
      </c>
      <c r="F167" s="1"/>
      <c r="G167" s="1"/>
    </row>
    <row r="168" spans="1:7" x14ac:dyDescent="0.25">
      <c r="A168" s="1" t="s">
        <v>58</v>
      </c>
      <c r="B168" s="166" t="s">
        <v>689</v>
      </c>
      <c r="C168" s="1" t="s">
        <v>221</v>
      </c>
      <c r="D168" s="2">
        <v>5</v>
      </c>
      <c r="E168" s="1" t="s">
        <v>687</v>
      </c>
      <c r="F168" s="1"/>
      <c r="G168" s="1"/>
    </row>
    <row r="169" spans="1:7" x14ac:dyDescent="0.25">
      <c r="A169" s="1" t="s">
        <v>58</v>
      </c>
      <c r="B169" s="1" t="s">
        <v>690</v>
      </c>
      <c r="C169" s="1" t="s">
        <v>222</v>
      </c>
      <c r="D169" s="2">
        <v>5</v>
      </c>
      <c r="E169" s="1" t="s">
        <v>481</v>
      </c>
      <c r="F169" s="2">
        <v>3.5</v>
      </c>
      <c r="G169" s="6" t="s">
        <v>741</v>
      </c>
    </row>
    <row r="170" spans="1:7" x14ac:dyDescent="0.25">
      <c r="A170" s="1" t="s">
        <v>58</v>
      </c>
      <c r="B170" s="1" t="s">
        <v>690</v>
      </c>
      <c r="C170" s="1" t="s">
        <v>223</v>
      </c>
      <c r="D170" s="2">
        <v>5</v>
      </c>
      <c r="E170" s="1" t="s">
        <v>693</v>
      </c>
      <c r="F170" s="1"/>
      <c r="G170" s="1"/>
    </row>
    <row r="171" spans="1:7" x14ac:dyDescent="0.25">
      <c r="A171" s="1" t="s">
        <v>58</v>
      </c>
      <c r="B171" s="1" t="s">
        <v>690</v>
      </c>
      <c r="C171" s="1" t="s">
        <v>224</v>
      </c>
      <c r="D171" s="2">
        <v>5</v>
      </c>
      <c r="E171" s="1" t="s">
        <v>691</v>
      </c>
      <c r="F171" s="1"/>
      <c r="G171" s="1"/>
    </row>
    <row r="172" spans="1:7" x14ac:dyDescent="0.25">
      <c r="A172" s="1" t="s">
        <v>58</v>
      </c>
      <c r="B172" s="1" t="s">
        <v>690</v>
      </c>
      <c r="C172" s="1" t="s">
        <v>225</v>
      </c>
      <c r="D172" s="2">
        <v>5</v>
      </c>
      <c r="E172" s="1" t="s">
        <v>691</v>
      </c>
      <c r="F172" s="1"/>
      <c r="G172" s="1"/>
    </row>
    <row r="173" spans="1:7" x14ac:dyDescent="0.25">
      <c r="A173" s="1" t="s">
        <v>58</v>
      </c>
      <c r="B173" s="1" t="s">
        <v>690</v>
      </c>
      <c r="C173" s="1" t="s">
        <v>226</v>
      </c>
      <c r="D173" s="2">
        <v>5</v>
      </c>
      <c r="E173" s="1" t="s">
        <v>691</v>
      </c>
      <c r="F173" s="1"/>
      <c r="G173" s="1"/>
    </row>
    <row r="174" spans="1:7" x14ac:dyDescent="0.25">
      <c r="A174" s="1" t="s">
        <v>58</v>
      </c>
      <c r="B174" s="1" t="s">
        <v>690</v>
      </c>
      <c r="C174" s="1" t="s">
        <v>227</v>
      </c>
      <c r="D174" s="2">
        <v>5</v>
      </c>
      <c r="E174" s="1" t="s">
        <v>691</v>
      </c>
      <c r="F174" s="1"/>
      <c r="G174" s="1"/>
    </row>
    <row r="175" spans="1:7" x14ac:dyDescent="0.25">
      <c r="A175" s="1" t="s">
        <v>58</v>
      </c>
      <c r="B175" s="1" t="s">
        <v>690</v>
      </c>
      <c r="C175" s="1" t="s">
        <v>228</v>
      </c>
      <c r="D175" s="2">
        <v>5</v>
      </c>
      <c r="E175" s="1" t="s">
        <v>691</v>
      </c>
      <c r="F175" s="1"/>
      <c r="G175" s="1"/>
    </row>
    <row r="176" spans="1:7" x14ac:dyDescent="0.25">
      <c r="A176" s="1" t="s">
        <v>58</v>
      </c>
      <c r="B176" s="1" t="s">
        <v>690</v>
      </c>
      <c r="C176" s="1" t="s">
        <v>229</v>
      </c>
      <c r="D176" s="2">
        <v>5</v>
      </c>
      <c r="E176" s="1" t="s">
        <v>691</v>
      </c>
      <c r="F176" s="1"/>
      <c r="G176" s="1"/>
    </row>
    <row r="177" spans="1:7" x14ac:dyDescent="0.25">
      <c r="A177" s="1" t="s">
        <v>58</v>
      </c>
      <c r="B177" s="1" t="s">
        <v>690</v>
      </c>
      <c r="C177" s="1" t="s">
        <v>230</v>
      </c>
      <c r="D177" s="2">
        <v>5</v>
      </c>
      <c r="E177" s="1" t="s">
        <v>691</v>
      </c>
      <c r="F177" s="1"/>
      <c r="G177" s="1"/>
    </row>
    <row r="178" spans="1:7" x14ac:dyDescent="0.25">
      <c r="A178" s="1" t="s">
        <v>58</v>
      </c>
      <c r="B178" s="1" t="s">
        <v>690</v>
      </c>
      <c r="C178" s="1" t="s">
        <v>231</v>
      </c>
      <c r="D178" s="2">
        <v>5</v>
      </c>
      <c r="E178" s="1" t="s">
        <v>691</v>
      </c>
      <c r="F178" s="1"/>
      <c r="G178" s="1"/>
    </row>
    <row r="179" spans="1:7" x14ac:dyDescent="0.25">
      <c r="A179" s="1" t="s">
        <v>58</v>
      </c>
      <c r="B179" s="1" t="s">
        <v>690</v>
      </c>
      <c r="C179" s="1" t="s">
        <v>232</v>
      </c>
      <c r="D179" s="2">
        <v>5</v>
      </c>
      <c r="E179" s="1" t="s">
        <v>691</v>
      </c>
      <c r="F179" s="1"/>
      <c r="G179" s="1"/>
    </row>
    <row r="180" spans="1:7" x14ac:dyDescent="0.25">
      <c r="A180" s="1" t="s">
        <v>58</v>
      </c>
      <c r="B180" s="1" t="s">
        <v>690</v>
      </c>
      <c r="C180" s="1" t="s">
        <v>233</v>
      </c>
      <c r="D180" s="2">
        <v>5</v>
      </c>
      <c r="E180" s="1" t="s">
        <v>691</v>
      </c>
      <c r="F180" s="1"/>
      <c r="G180" s="1"/>
    </row>
    <row r="181" spans="1:7" x14ac:dyDescent="0.25">
      <c r="A181" s="1" t="s">
        <v>58</v>
      </c>
      <c r="B181" s="166" t="s">
        <v>694</v>
      </c>
      <c r="C181" s="1" t="s">
        <v>234</v>
      </c>
      <c r="D181" s="2">
        <v>5</v>
      </c>
      <c r="E181" s="1" t="s">
        <v>691</v>
      </c>
      <c r="F181" s="1"/>
      <c r="G181" s="1"/>
    </row>
    <row r="182" spans="1:7" x14ac:dyDescent="0.25">
      <c r="A182" s="1" t="s">
        <v>58</v>
      </c>
      <c r="B182" s="166" t="s">
        <v>694</v>
      </c>
      <c r="C182" s="1" t="s">
        <v>235</v>
      </c>
      <c r="D182" s="2">
        <v>5</v>
      </c>
      <c r="E182" s="1" t="s">
        <v>691</v>
      </c>
      <c r="F182" s="1"/>
      <c r="G182" s="1"/>
    </row>
    <row r="183" spans="1:7" x14ac:dyDescent="0.25">
      <c r="A183" s="1" t="s">
        <v>58</v>
      </c>
      <c r="B183" s="166" t="s">
        <v>694</v>
      </c>
      <c r="C183" s="1" t="s">
        <v>236</v>
      </c>
      <c r="D183" s="2">
        <v>5</v>
      </c>
      <c r="E183" s="1" t="s">
        <v>691</v>
      </c>
      <c r="F183" s="1"/>
      <c r="G183" s="1"/>
    </row>
    <row r="184" spans="1:7" x14ac:dyDescent="0.25">
      <c r="A184" s="1" t="s">
        <v>58</v>
      </c>
      <c r="B184" s="166" t="s">
        <v>694</v>
      </c>
      <c r="C184" s="1" t="s">
        <v>237</v>
      </c>
      <c r="D184" s="2">
        <v>5</v>
      </c>
      <c r="E184" s="1" t="s">
        <v>691</v>
      </c>
      <c r="F184" s="1"/>
      <c r="G184" s="1"/>
    </row>
    <row r="185" spans="1:7" x14ac:dyDescent="0.25">
      <c r="A185" s="1" t="s">
        <v>58</v>
      </c>
      <c r="B185" s="166" t="s">
        <v>694</v>
      </c>
      <c r="C185" s="1" t="s">
        <v>238</v>
      </c>
      <c r="D185" s="2">
        <v>5</v>
      </c>
      <c r="E185" s="1" t="s">
        <v>691</v>
      </c>
      <c r="F185" s="1"/>
      <c r="G185" s="1"/>
    </row>
    <row r="186" spans="1:7" x14ac:dyDescent="0.25">
      <c r="A186" s="1" t="s">
        <v>58</v>
      </c>
      <c r="B186" s="166" t="s">
        <v>694</v>
      </c>
      <c r="C186" s="1" t="s">
        <v>239</v>
      </c>
      <c r="D186" s="2">
        <v>5</v>
      </c>
      <c r="E186" s="1" t="s">
        <v>691</v>
      </c>
      <c r="F186" s="1"/>
      <c r="G186" s="1"/>
    </row>
    <row r="187" spans="1:7" x14ac:dyDescent="0.25">
      <c r="A187" s="1" t="s">
        <v>58</v>
      </c>
      <c r="B187" s="166" t="s">
        <v>694</v>
      </c>
      <c r="C187" s="1" t="s">
        <v>240</v>
      </c>
      <c r="D187" s="2">
        <v>5</v>
      </c>
      <c r="E187" s="1" t="s">
        <v>691</v>
      </c>
      <c r="F187" s="1"/>
      <c r="G187" s="1"/>
    </row>
    <row r="188" spans="1:7" x14ac:dyDescent="0.25">
      <c r="A188" s="1" t="s">
        <v>58</v>
      </c>
      <c r="B188" s="166" t="s">
        <v>694</v>
      </c>
      <c r="C188" s="1" t="s">
        <v>241</v>
      </c>
      <c r="D188" s="2">
        <v>5</v>
      </c>
      <c r="E188" s="1" t="s">
        <v>693</v>
      </c>
      <c r="F188" s="1"/>
      <c r="G188" s="1"/>
    </row>
    <row r="189" spans="1:7" x14ac:dyDescent="0.25">
      <c r="A189" s="1" t="s">
        <v>58</v>
      </c>
      <c r="B189" s="166" t="s">
        <v>694</v>
      </c>
      <c r="C189" s="1" t="s">
        <v>242</v>
      </c>
      <c r="D189" s="2">
        <v>5</v>
      </c>
      <c r="E189" s="1" t="s">
        <v>691</v>
      </c>
      <c r="F189" s="1"/>
      <c r="G189" s="1"/>
    </row>
    <row r="190" spans="1:7" x14ac:dyDescent="0.25">
      <c r="A190" s="1" t="s">
        <v>58</v>
      </c>
      <c r="B190" s="166" t="s">
        <v>694</v>
      </c>
      <c r="C190" s="1" t="s">
        <v>243</v>
      </c>
      <c r="D190" s="2">
        <v>5</v>
      </c>
      <c r="E190" s="1" t="s">
        <v>691</v>
      </c>
      <c r="F190" s="1"/>
      <c r="G190" s="1"/>
    </row>
    <row r="191" spans="1:7" x14ac:dyDescent="0.25">
      <c r="A191" s="1" t="s">
        <v>58</v>
      </c>
      <c r="B191" s="166" t="s">
        <v>694</v>
      </c>
      <c r="C191" s="1" t="s">
        <v>244</v>
      </c>
      <c r="D191" s="2">
        <v>5</v>
      </c>
      <c r="E191" s="1" t="s">
        <v>691</v>
      </c>
      <c r="F191" s="1"/>
      <c r="G191" s="1"/>
    </row>
    <row r="192" spans="1:7" x14ac:dyDescent="0.25">
      <c r="A192" s="1" t="s">
        <v>58</v>
      </c>
      <c r="B192" s="166" t="s">
        <v>694</v>
      </c>
      <c r="C192" s="1" t="s">
        <v>245</v>
      </c>
      <c r="D192" s="2">
        <v>5</v>
      </c>
      <c r="E192" s="1" t="s">
        <v>691</v>
      </c>
      <c r="F192" s="1"/>
      <c r="G192" s="1"/>
    </row>
    <row r="193" spans="1:7" x14ac:dyDescent="0.25">
      <c r="A193" s="1" t="s">
        <v>58</v>
      </c>
      <c r="B193" s="166" t="s">
        <v>694</v>
      </c>
      <c r="C193" s="1" t="s">
        <v>246</v>
      </c>
      <c r="D193" s="2">
        <v>5</v>
      </c>
      <c r="E193" s="1" t="s">
        <v>693</v>
      </c>
      <c r="F193" s="1"/>
      <c r="G193" s="1"/>
    </row>
    <row r="194" spans="1:7" x14ac:dyDescent="0.25">
      <c r="A194" s="1" t="s">
        <v>58</v>
      </c>
      <c r="B194" s="166" t="s">
        <v>694</v>
      </c>
      <c r="C194" s="1" t="s">
        <v>247</v>
      </c>
      <c r="D194" s="2">
        <v>5</v>
      </c>
      <c r="E194" s="1" t="s">
        <v>481</v>
      </c>
      <c r="F194" s="18">
        <v>1</v>
      </c>
      <c r="G194" s="6" t="s">
        <v>741</v>
      </c>
    </row>
    <row r="195" spans="1:7" x14ac:dyDescent="0.25">
      <c r="A195" s="1" t="s">
        <v>57</v>
      </c>
      <c r="B195" s="6" t="s">
        <v>696</v>
      </c>
      <c r="C195" s="6" t="s">
        <v>248</v>
      </c>
      <c r="D195" s="18">
        <v>5</v>
      </c>
      <c r="E195" s="1" t="s">
        <v>686</v>
      </c>
      <c r="F195" s="1"/>
      <c r="G195" s="1"/>
    </row>
    <row r="196" spans="1:7" x14ac:dyDescent="0.25">
      <c r="A196" s="1" t="s">
        <v>57</v>
      </c>
      <c r="B196" s="6" t="s">
        <v>696</v>
      </c>
      <c r="C196" s="6" t="s">
        <v>249</v>
      </c>
      <c r="D196" s="18">
        <v>5</v>
      </c>
      <c r="E196" s="1" t="s">
        <v>686</v>
      </c>
      <c r="F196" s="1"/>
      <c r="G196" s="1"/>
    </row>
    <row r="197" spans="1:7" x14ac:dyDescent="0.25">
      <c r="A197" s="1" t="s">
        <v>58</v>
      </c>
      <c r="B197" s="166" t="s">
        <v>695</v>
      </c>
      <c r="C197" s="1" t="s">
        <v>250</v>
      </c>
      <c r="D197" s="2">
        <v>5</v>
      </c>
      <c r="E197" s="1" t="s">
        <v>697</v>
      </c>
      <c r="F197" s="1"/>
      <c r="G197" s="1"/>
    </row>
    <row r="198" spans="1:7" x14ac:dyDescent="0.25">
      <c r="A198" s="1" t="s">
        <v>58</v>
      </c>
      <c r="B198" s="166" t="s">
        <v>695</v>
      </c>
      <c r="C198" s="1" t="s">
        <v>251</v>
      </c>
      <c r="D198" s="2">
        <v>5</v>
      </c>
      <c r="E198" s="1" t="s">
        <v>697</v>
      </c>
      <c r="F198" s="1"/>
      <c r="G198" s="1"/>
    </row>
    <row r="199" spans="1:7" x14ac:dyDescent="0.25">
      <c r="A199" s="1" t="s">
        <v>58</v>
      </c>
      <c r="B199" s="166" t="s">
        <v>695</v>
      </c>
      <c r="C199" s="1" t="s">
        <v>252</v>
      </c>
      <c r="D199" s="2">
        <v>5</v>
      </c>
      <c r="E199" s="1" t="s">
        <v>697</v>
      </c>
      <c r="F199" s="1"/>
      <c r="G199" s="1"/>
    </row>
    <row r="200" spans="1:7" x14ac:dyDescent="0.25">
      <c r="A200" s="1" t="s">
        <v>58</v>
      </c>
      <c r="B200" s="166" t="s">
        <v>695</v>
      </c>
      <c r="C200" s="1" t="s">
        <v>253</v>
      </c>
      <c r="D200" s="2">
        <v>5</v>
      </c>
      <c r="E200" s="1" t="s">
        <v>697</v>
      </c>
      <c r="F200" s="1"/>
      <c r="G200" s="1"/>
    </row>
    <row r="201" spans="1:7" x14ac:dyDescent="0.25">
      <c r="A201" s="1" t="s">
        <v>58</v>
      </c>
      <c r="B201" s="166" t="s">
        <v>695</v>
      </c>
      <c r="C201" s="1" t="s">
        <v>254</v>
      </c>
      <c r="D201" s="2">
        <v>5</v>
      </c>
      <c r="E201" s="1" t="s">
        <v>697</v>
      </c>
      <c r="F201" s="1"/>
      <c r="G201" s="1"/>
    </row>
    <row r="202" spans="1:7" x14ac:dyDescent="0.25">
      <c r="A202" s="1" t="s">
        <v>58</v>
      </c>
      <c r="B202" s="166" t="s">
        <v>695</v>
      </c>
      <c r="C202" s="1" t="s">
        <v>255</v>
      </c>
      <c r="D202" s="2">
        <v>5</v>
      </c>
      <c r="E202" s="1" t="s">
        <v>686</v>
      </c>
      <c r="F202" s="1"/>
      <c r="G202" s="1"/>
    </row>
    <row r="203" spans="1:7" x14ac:dyDescent="0.25">
      <c r="A203" s="1" t="s">
        <v>58</v>
      </c>
      <c r="B203" s="166" t="s">
        <v>695</v>
      </c>
      <c r="C203" s="1" t="s">
        <v>256</v>
      </c>
      <c r="D203" s="2">
        <v>5</v>
      </c>
      <c r="E203" s="1" t="s">
        <v>686</v>
      </c>
      <c r="F203" s="1"/>
      <c r="G203" s="1"/>
    </row>
    <row r="204" spans="1:7" x14ac:dyDescent="0.25">
      <c r="A204" s="1" t="s">
        <v>57</v>
      </c>
      <c r="B204" s="1" t="s">
        <v>696</v>
      </c>
      <c r="C204" s="1" t="s">
        <v>257</v>
      </c>
      <c r="D204" s="2">
        <v>5</v>
      </c>
      <c r="E204" s="1" t="s">
        <v>691</v>
      </c>
      <c r="F204" s="1"/>
      <c r="G204" s="1"/>
    </row>
    <row r="205" spans="1:7" x14ac:dyDescent="0.25">
      <c r="A205" s="1" t="s">
        <v>57</v>
      </c>
      <c r="B205" s="1" t="s">
        <v>696</v>
      </c>
      <c r="C205" s="1" t="s">
        <v>258</v>
      </c>
      <c r="D205" s="2">
        <v>5</v>
      </c>
      <c r="E205" s="1" t="s">
        <v>691</v>
      </c>
      <c r="F205" s="1"/>
      <c r="G205" s="1"/>
    </row>
    <row r="206" spans="1:7" x14ac:dyDescent="0.25">
      <c r="A206" s="1" t="s">
        <v>57</v>
      </c>
      <c r="B206" s="1" t="s">
        <v>696</v>
      </c>
      <c r="C206" s="1" t="s">
        <v>259</v>
      </c>
      <c r="D206" s="2">
        <v>5</v>
      </c>
      <c r="E206" s="1" t="s">
        <v>691</v>
      </c>
      <c r="F206" s="1"/>
      <c r="G206" s="1"/>
    </row>
    <row r="207" spans="1:7" x14ac:dyDescent="0.25">
      <c r="A207" s="1" t="s">
        <v>57</v>
      </c>
      <c r="B207" s="1" t="s">
        <v>696</v>
      </c>
      <c r="C207" s="1" t="s">
        <v>260</v>
      </c>
      <c r="D207" s="2">
        <v>5</v>
      </c>
      <c r="E207" s="1" t="s">
        <v>691</v>
      </c>
      <c r="F207" s="1"/>
      <c r="G207" s="1"/>
    </row>
    <row r="208" spans="1:7" x14ac:dyDescent="0.25">
      <c r="A208" s="1" t="s">
        <v>57</v>
      </c>
      <c r="B208" s="1" t="s">
        <v>696</v>
      </c>
      <c r="C208" s="1" t="s">
        <v>261</v>
      </c>
      <c r="D208" s="2">
        <v>5</v>
      </c>
      <c r="E208" s="1" t="s">
        <v>691</v>
      </c>
      <c r="F208" s="1"/>
      <c r="G208" s="1"/>
    </row>
    <row r="209" spans="1:7" x14ac:dyDescent="0.25">
      <c r="A209" s="1" t="s">
        <v>57</v>
      </c>
      <c r="B209" s="1" t="s">
        <v>696</v>
      </c>
      <c r="C209" s="1" t="s">
        <v>262</v>
      </c>
      <c r="D209" s="2">
        <v>5</v>
      </c>
      <c r="E209" s="1" t="s">
        <v>691</v>
      </c>
      <c r="F209" s="1"/>
      <c r="G209" s="1"/>
    </row>
    <row r="210" spans="1:7" x14ac:dyDescent="0.25">
      <c r="A210" s="1" t="s">
        <v>57</v>
      </c>
      <c r="B210" s="1" t="s">
        <v>696</v>
      </c>
      <c r="C210" s="1" t="s">
        <v>263</v>
      </c>
      <c r="D210" s="2">
        <v>5</v>
      </c>
      <c r="E210" s="1" t="s">
        <v>691</v>
      </c>
      <c r="F210" s="1"/>
      <c r="G210" s="1"/>
    </row>
    <row r="211" spans="1:7" x14ac:dyDescent="0.25">
      <c r="A211" s="1" t="s">
        <v>57</v>
      </c>
      <c r="B211" s="1" t="s">
        <v>696</v>
      </c>
      <c r="C211" s="1" t="s">
        <v>264</v>
      </c>
      <c r="D211" s="2">
        <v>5</v>
      </c>
      <c r="E211" s="1" t="s">
        <v>691</v>
      </c>
      <c r="F211" s="1"/>
      <c r="G211" s="1"/>
    </row>
    <row r="212" spans="1:7" x14ac:dyDescent="0.25">
      <c r="A212" s="1" t="s">
        <v>57</v>
      </c>
      <c r="B212" s="1" t="s">
        <v>696</v>
      </c>
      <c r="C212" s="1" t="s">
        <v>265</v>
      </c>
      <c r="D212" s="2">
        <v>5</v>
      </c>
      <c r="E212" s="1" t="s">
        <v>691</v>
      </c>
      <c r="F212" s="1"/>
      <c r="G212" s="1"/>
    </row>
    <row r="213" spans="1:7" x14ac:dyDescent="0.25">
      <c r="A213" s="1" t="s">
        <v>57</v>
      </c>
      <c r="B213" s="1" t="s">
        <v>696</v>
      </c>
      <c r="C213" s="1" t="s">
        <v>266</v>
      </c>
      <c r="D213" s="2">
        <v>5</v>
      </c>
      <c r="E213" s="1" t="s">
        <v>691</v>
      </c>
      <c r="F213" s="1"/>
      <c r="G213" s="1"/>
    </row>
    <row r="214" spans="1:7" x14ac:dyDescent="0.25">
      <c r="A214" s="1" t="s">
        <v>57</v>
      </c>
      <c r="B214" s="1" t="s">
        <v>696</v>
      </c>
      <c r="C214" s="1" t="s">
        <v>267</v>
      </c>
      <c r="D214" s="2">
        <v>5</v>
      </c>
      <c r="E214" s="1" t="s">
        <v>691</v>
      </c>
      <c r="F214" s="1"/>
      <c r="G214" s="1"/>
    </row>
    <row r="215" spans="1:7" x14ac:dyDescent="0.25">
      <c r="A215" s="1" t="s">
        <v>57</v>
      </c>
      <c r="B215" s="1" t="s">
        <v>696</v>
      </c>
      <c r="C215" s="1" t="s">
        <v>268</v>
      </c>
      <c r="D215" s="2">
        <v>5</v>
      </c>
      <c r="E215" s="1" t="s">
        <v>691</v>
      </c>
      <c r="F215" s="1"/>
      <c r="G215" s="1"/>
    </row>
    <row r="216" spans="1:7" x14ac:dyDescent="0.25">
      <c r="A216" s="1" t="s">
        <v>57</v>
      </c>
      <c r="B216" s="1" t="s">
        <v>696</v>
      </c>
      <c r="C216" s="1" t="s">
        <v>269</v>
      </c>
      <c r="D216" s="2">
        <v>5</v>
      </c>
      <c r="E216" s="1" t="s">
        <v>691</v>
      </c>
      <c r="F216" s="1"/>
      <c r="G216" s="1"/>
    </row>
    <row r="217" spans="1:7" x14ac:dyDescent="0.25">
      <c r="A217" s="1" t="s">
        <v>57</v>
      </c>
      <c r="B217" s="1" t="s">
        <v>696</v>
      </c>
      <c r="C217" s="1" t="s">
        <v>270</v>
      </c>
      <c r="D217" s="2">
        <v>5</v>
      </c>
      <c r="E217" s="1" t="s">
        <v>691</v>
      </c>
      <c r="F217" s="1"/>
      <c r="G217" s="1"/>
    </row>
    <row r="218" spans="1:7" x14ac:dyDescent="0.25">
      <c r="A218" s="1" t="s">
        <v>57</v>
      </c>
      <c r="B218" s="1" t="s">
        <v>696</v>
      </c>
      <c r="C218" s="1" t="s">
        <v>271</v>
      </c>
      <c r="D218" s="2">
        <v>5</v>
      </c>
      <c r="E218" s="1" t="s">
        <v>693</v>
      </c>
      <c r="F218" s="1"/>
      <c r="G218" s="1"/>
    </row>
  </sheetData>
  <sortState ref="A12:G218">
    <sortCondition ref="C12:C2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I14" sqref="I14"/>
    </sheetView>
  </sheetViews>
  <sheetFormatPr baseColWidth="10" defaultRowHeight="15" x14ac:dyDescent="0.25"/>
  <cols>
    <col min="2" max="2" width="29.140625" customWidth="1"/>
    <col min="3" max="3" width="17.28515625" customWidth="1"/>
    <col min="5" max="5" width="26.85546875" style="176" customWidth="1"/>
  </cols>
  <sheetData>
    <row r="1" spans="1:9" ht="18.75" x14ac:dyDescent="0.3">
      <c r="A1" s="103" t="s">
        <v>553</v>
      </c>
      <c r="B1" s="109"/>
      <c r="C1" s="109"/>
      <c r="D1" s="109"/>
      <c r="E1" s="104"/>
    </row>
    <row r="2" spans="1:9" ht="18.75" x14ac:dyDescent="0.3">
      <c r="A2" s="105" t="s">
        <v>554</v>
      </c>
      <c r="B2" s="110"/>
      <c r="C2" s="110"/>
      <c r="D2" s="110"/>
      <c r="E2" s="106"/>
    </row>
    <row r="3" spans="1:9" ht="18.75" x14ac:dyDescent="0.3">
      <c r="A3" s="105" t="s">
        <v>746</v>
      </c>
      <c r="B3" s="110"/>
      <c r="C3" s="110"/>
      <c r="D3" s="110"/>
      <c r="E3" s="106"/>
    </row>
    <row r="4" spans="1:9" ht="19.5" thickBot="1" x14ac:dyDescent="0.35">
      <c r="A4" s="107"/>
      <c r="B4" s="111"/>
      <c r="C4" s="111"/>
      <c r="D4" s="111"/>
      <c r="E4" s="108" t="s">
        <v>556</v>
      </c>
    </row>
    <row r="5" spans="1:9" s="176" customFormat="1" x14ac:dyDescent="0.25"/>
    <row r="6" spans="1:9" s="176" customFormat="1" x14ac:dyDescent="0.25">
      <c r="A6" s="12"/>
      <c r="B6" s="15" t="s">
        <v>735</v>
      </c>
      <c r="C6" s="15"/>
      <c r="D6" s="15"/>
      <c r="E6" s="15"/>
    </row>
    <row r="7" spans="1:9" x14ac:dyDescent="0.25">
      <c r="A7" s="169" t="s">
        <v>731</v>
      </c>
      <c r="B7" s="169" t="s">
        <v>732</v>
      </c>
      <c r="C7" s="169" t="s">
        <v>737</v>
      </c>
      <c r="D7" s="169" t="s">
        <v>733</v>
      </c>
      <c r="E7" s="169" t="s">
        <v>738</v>
      </c>
    </row>
    <row r="8" spans="1:9" x14ac:dyDescent="0.25">
      <c r="A8" s="2">
        <v>25</v>
      </c>
      <c r="B8" s="6" t="s">
        <v>730</v>
      </c>
      <c r="C8" s="2">
        <v>2</v>
      </c>
      <c r="D8" s="2">
        <f>A8*C8</f>
        <v>50</v>
      </c>
      <c r="E8" s="2" t="s">
        <v>739</v>
      </c>
    </row>
    <row r="9" spans="1:9" x14ac:dyDescent="0.25">
      <c r="A9" s="2">
        <v>22</v>
      </c>
      <c r="B9" s="1" t="s">
        <v>697</v>
      </c>
      <c r="C9" s="2">
        <v>1</v>
      </c>
      <c r="D9" s="2">
        <f t="shared" ref="D9:D16" si="0">A9*C9</f>
        <v>22</v>
      </c>
      <c r="E9" s="2" t="s">
        <v>739</v>
      </c>
    </row>
    <row r="10" spans="1:9" x14ac:dyDescent="0.25">
      <c r="A10" s="2">
        <v>2</v>
      </c>
      <c r="B10" s="1" t="s">
        <v>701</v>
      </c>
      <c r="C10" s="2">
        <v>1</v>
      </c>
      <c r="D10" s="2">
        <f t="shared" si="0"/>
        <v>2</v>
      </c>
      <c r="E10" s="2" t="s">
        <v>739</v>
      </c>
    </row>
    <row r="11" spans="1:9" x14ac:dyDescent="0.25">
      <c r="A11" s="2">
        <v>5</v>
      </c>
      <c r="B11" s="6" t="s">
        <v>728</v>
      </c>
      <c r="C11" s="2">
        <v>0</v>
      </c>
      <c r="D11" s="2">
        <f t="shared" si="0"/>
        <v>0</v>
      </c>
      <c r="E11" s="2"/>
    </row>
    <row r="12" spans="1:9" x14ac:dyDescent="0.25">
      <c r="A12" s="2">
        <v>5</v>
      </c>
      <c r="B12" s="6" t="s">
        <v>687</v>
      </c>
      <c r="C12" s="2">
        <v>0</v>
      </c>
      <c r="D12" s="2">
        <f t="shared" si="0"/>
        <v>0</v>
      </c>
      <c r="E12" s="2"/>
    </row>
    <row r="13" spans="1:9" x14ac:dyDescent="0.25">
      <c r="A13" s="2">
        <v>10</v>
      </c>
      <c r="B13" s="6" t="s">
        <v>729</v>
      </c>
      <c r="C13" s="2">
        <v>0</v>
      </c>
      <c r="D13" s="2">
        <f t="shared" si="0"/>
        <v>0</v>
      </c>
      <c r="E13" s="2"/>
    </row>
    <row r="14" spans="1:9" x14ac:dyDescent="0.25">
      <c r="A14" s="2">
        <v>115</v>
      </c>
      <c r="B14" s="1" t="s">
        <v>691</v>
      </c>
      <c r="C14" s="2">
        <v>1</v>
      </c>
      <c r="D14" s="2">
        <f t="shared" si="0"/>
        <v>115</v>
      </c>
      <c r="E14" s="2" t="s">
        <v>740</v>
      </c>
    </row>
    <row r="15" spans="1:9" x14ac:dyDescent="0.25">
      <c r="A15" s="2">
        <v>1</v>
      </c>
      <c r="B15" s="1" t="s">
        <v>700</v>
      </c>
      <c r="C15" s="2">
        <v>1</v>
      </c>
      <c r="D15" s="2">
        <f t="shared" si="0"/>
        <v>1</v>
      </c>
      <c r="E15" s="2"/>
      <c r="I15" s="179"/>
    </row>
    <row r="16" spans="1:9" x14ac:dyDescent="0.25">
      <c r="A16" s="18">
        <v>13</v>
      </c>
      <c r="B16" s="6" t="s">
        <v>743</v>
      </c>
      <c r="C16" s="2">
        <v>0</v>
      </c>
      <c r="D16" s="2">
        <f t="shared" si="0"/>
        <v>0</v>
      </c>
      <c r="E16" s="2"/>
      <c r="I16" s="179"/>
    </row>
    <row r="17" spans="1:5" x14ac:dyDescent="0.25">
      <c r="A17" s="18">
        <v>5</v>
      </c>
      <c r="B17" s="6" t="s">
        <v>744</v>
      </c>
      <c r="C17" s="2">
        <v>0</v>
      </c>
      <c r="D17" s="2">
        <f t="shared" ref="D17" si="1">A17*C17</f>
        <v>0</v>
      </c>
      <c r="E17" s="2"/>
    </row>
    <row r="18" spans="1:5" x14ac:dyDescent="0.25">
      <c r="A18" s="18" t="s">
        <v>751</v>
      </c>
      <c r="B18" s="6" t="s">
        <v>736</v>
      </c>
      <c r="C18" s="2">
        <v>0</v>
      </c>
      <c r="D18" s="2">
        <v>24</v>
      </c>
      <c r="E18" s="2" t="s">
        <v>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activeCell="L22" sqref="L22"/>
    </sheetView>
  </sheetViews>
  <sheetFormatPr baseColWidth="10" defaultRowHeight="15" x14ac:dyDescent="0.25"/>
  <cols>
    <col min="1" max="1" width="7.7109375" customWidth="1"/>
    <col min="3" max="3" width="12.42578125" customWidth="1"/>
    <col min="6" max="6" width="36.140625" customWidth="1"/>
    <col min="7" max="7" width="13.85546875" customWidth="1"/>
    <col min="8" max="8" width="3.5703125" customWidth="1"/>
    <col min="9" max="9" width="13.7109375" customWidth="1"/>
    <col min="10" max="10" width="16.28515625" customWidth="1"/>
    <col min="11" max="11" width="16" customWidth="1"/>
    <col min="12" max="12" width="15.28515625" customWidth="1"/>
    <col min="13" max="13" width="15.85546875" customWidth="1"/>
  </cols>
  <sheetData>
    <row r="1" spans="1:13" s="157" customFormat="1" ht="18.75" x14ac:dyDescent="0.3">
      <c r="A1" s="103" t="s">
        <v>553</v>
      </c>
      <c r="B1" s="109"/>
      <c r="C1" s="109"/>
      <c r="D1" s="109"/>
      <c r="E1" s="109"/>
      <c r="F1" s="109"/>
      <c r="G1" s="104"/>
    </row>
    <row r="2" spans="1:13" s="157" customFormat="1" ht="18.75" x14ac:dyDescent="0.3">
      <c r="A2" s="105" t="s">
        <v>554</v>
      </c>
      <c r="B2" s="110"/>
      <c r="C2" s="110"/>
      <c r="D2" s="110"/>
      <c r="E2" s="110"/>
      <c r="F2" s="110"/>
      <c r="G2" s="106"/>
    </row>
    <row r="3" spans="1:13" s="157" customFormat="1" ht="18.75" x14ac:dyDescent="0.3">
      <c r="A3" s="105" t="s">
        <v>665</v>
      </c>
      <c r="B3" s="110"/>
      <c r="C3" s="110"/>
      <c r="D3" s="110"/>
      <c r="E3" s="110"/>
      <c r="F3" s="110"/>
      <c r="G3" s="106"/>
    </row>
    <row r="4" spans="1:13" s="157" customFormat="1" ht="19.5" thickBot="1" x14ac:dyDescent="0.35">
      <c r="A4" s="107"/>
      <c r="B4" s="111"/>
      <c r="C4" s="111"/>
      <c r="D4" s="111"/>
      <c r="E4" s="111"/>
      <c r="F4" s="111"/>
      <c r="G4" s="108" t="s">
        <v>556</v>
      </c>
    </row>
    <row r="6" spans="1:13" x14ac:dyDescent="0.25">
      <c r="A6" s="84" t="s">
        <v>480</v>
      </c>
      <c r="B6" s="8"/>
      <c r="C6" s="8"/>
      <c r="D6" s="8"/>
      <c r="E6" s="8"/>
      <c r="F6" s="8"/>
      <c r="G6" s="8"/>
    </row>
    <row r="7" spans="1:13" s="89" customFormat="1" ht="9" customHeight="1" x14ac:dyDescent="0.25"/>
    <row r="8" spans="1:13" s="89" customFormat="1" x14ac:dyDescent="0.25">
      <c r="B8" s="95" t="s">
        <v>517</v>
      </c>
      <c r="C8" s="95" t="s">
        <v>518</v>
      </c>
    </row>
    <row r="9" spans="1:13" ht="16.149999999999999" customHeight="1" thickBot="1" x14ac:dyDescent="0.3">
      <c r="B9" s="97">
        <f>COUNTA(A11:A68)</f>
        <v>58</v>
      </c>
      <c r="C9" s="97">
        <f>SUM(B11:B69)</f>
        <v>89</v>
      </c>
    </row>
    <row r="10" spans="1:13" x14ac:dyDescent="0.25">
      <c r="A10" s="12" t="s">
        <v>69</v>
      </c>
      <c r="B10" s="15" t="s">
        <v>169</v>
      </c>
      <c r="C10" s="15" t="s">
        <v>171</v>
      </c>
      <c r="D10" s="15" t="s">
        <v>172</v>
      </c>
      <c r="E10" s="15" t="s">
        <v>387</v>
      </c>
      <c r="F10" s="15"/>
      <c r="G10" s="15" t="s">
        <v>175</v>
      </c>
      <c r="I10" s="189" t="s">
        <v>153</v>
      </c>
      <c r="J10" s="190"/>
      <c r="K10" s="191"/>
      <c r="L10" s="192"/>
    </row>
    <row r="11" spans="1:13" x14ac:dyDescent="0.25">
      <c r="A11" s="2" t="s">
        <v>70</v>
      </c>
      <c r="B11" s="2">
        <v>1</v>
      </c>
      <c r="C11" s="2" t="s">
        <v>384</v>
      </c>
      <c r="D11" s="2"/>
      <c r="E11" s="2"/>
      <c r="F11" s="2"/>
      <c r="G11" s="1" t="s">
        <v>170</v>
      </c>
      <c r="I11" s="35" t="s">
        <v>161</v>
      </c>
      <c r="J11" s="6" t="s">
        <v>162</v>
      </c>
      <c r="K11" s="6" t="s">
        <v>479</v>
      </c>
      <c r="L11" s="24" t="s">
        <v>482</v>
      </c>
    </row>
    <row r="12" spans="1:13" ht="15.75" thickBot="1" x14ac:dyDescent="0.3">
      <c r="A12" s="2" t="s">
        <v>71</v>
      </c>
      <c r="B12" s="2">
        <v>1</v>
      </c>
      <c r="C12" s="2" t="s">
        <v>385</v>
      </c>
      <c r="D12" s="2"/>
      <c r="E12" s="2"/>
      <c r="F12" s="2"/>
      <c r="G12" s="1" t="s">
        <v>170</v>
      </c>
      <c r="I12" s="70">
        <v>31</v>
      </c>
      <c r="J12" s="78">
        <v>24</v>
      </c>
      <c r="K12" s="78">
        <v>2</v>
      </c>
      <c r="L12" s="71">
        <v>60</v>
      </c>
    </row>
    <row r="13" spans="1:13" x14ac:dyDescent="0.25">
      <c r="A13" s="2" t="s">
        <v>72</v>
      </c>
      <c r="B13" s="2">
        <v>1</v>
      </c>
      <c r="C13" s="2" t="s">
        <v>386</v>
      </c>
      <c r="D13" s="2"/>
      <c r="E13" s="2"/>
      <c r="F13" s="2"/>
      <c r="G13" s="1" t="s">
        <v>170</v>
      </c>
      <c r="I13" s="179"/>
      <c r="J13" s="179"/>
      <c r="K13" s="179"/>
      <c r="L13" s="179"/>
      <c r="M13" s="179"/>
    </row>
    <row r="14" spans="1:13" x14ac:dyDescent="0.25">
      <c r="A14" s="2" t="s">
        <v>73</v>
      </c>
      <c r="B14" s="2">
        <v>1</v>
      </c>
      <c r="C14" s="2" t="s">
        <v>388</v>
      </c>
      <c r="D14" s="2"/>
      <c r="E14" s="2"/>
      <c r="F14" s="2"/>
      <c r="G14" s="1" t="s">
        <v>170</v>
      </c>
      <c r="L14" s="167"/>
    </row>
    <row r="15" spans="1:13" x14ac:dyDescent="0.25">
      <c r="A15" s="2" t="s">
        <v>74</v>
      </c>
      <c r="B15" s="2">
        <v>1</v>
      </c>
      <c r="C15" s="2" t="s">
        <v>389</v>
      </c>
      <c r="D15" s="2"/>
      <c r="E15" s="2"/>
      <c r="F15" s="74"/>
      <c r="G15" s="1" t="s">
        <v>170</v>
      </c>
      <c r="L15" s="167"/>
    </row>
    <row r="16" spans="1:13" x14ac:dyDescent="0.25">
      <c r="A16" s="2" t="s">
        <v>75</v>
      </c>
      <c r="B16" s="2">
        <v>2</v>
      </c>
      <c r="C16" s="2" t="s">
        <v>390</v>
      </c>
      <c r="D16" s="2" t="s">
        <v>391</v>
      </c>
      <c r="E16" s="2"/>
      <c r="F16" s="1" t="s">
        <v>392</v>
      </c>
      <c r="G16" s="1" t="s">
        <v>174</v>
      </c>
      <c r="L16" s="167"/>
    </row>
    <row r="17" spans="1:12" x14ac:dyDescent="0.25">
      <c r="A17" s="2" t="s">
        <v>76</v>
      </c>
      <c r="B17" s="2">
        <v>1</v>
      </c>
      <c r="C17" s="2" t="s">
        <v>393</v>
      </c>
      <c r="D17" s="2"/>
      <c r="E17" s="2"/>
      <c r="F17" s="74"/>
      <c r="G17" s="1" t="s">
        <v>170</v>
      </c>
      <c r="L17" s="167"/>
    </row>
    <row r="18" spans="1:12" x14ac:dyDescent="0.25">
      <c r="A18" s="2" t="s">
        <v>77</v>
      </c>
      <c r="B18" s="2">
        <v>1</v>
      </c>
      <c r="C18" s="2" t="s">
        <v>394</v>
      </c>
      <c r="D18" s="2"/>
      <c r="E18" s="2"/>
      <c r="F18" s="1" t="s">
        <v>395</v>
      </c>
      <c r="G18" s="1" t="s">
        <v>170</v>
      </c>
    </row>
    <row r="19" spans="1:12" x14ac:dyDescent="0.25">
      <c r="A19" s="2" t="s">
        <v>78</v>
      </c>
      <c r="B19" s="2">
        <v>2</v>
      </c>
      <c r="C19" s="2" t="s">
        <v>396</v>
      </c>
      <c r="D19" s="2" t="s">
        <v>397</v>
      </c>
      <c r="E19" s="2"/>
      <c r="F19" s="2"/>
      <c r="G19" s="1" t="s">
        <v>174</v>
      </c>
    </row>
    <row r="20" spans="1:12" x14ac:dyDescent="0.25">
      <c r="A20" s="2" t="s">
        <v>79</v>
      </c>
      <c r="B20" s="2">
        <v>2</v>
      </c>
      <c r="C20" s="2" t="s">
        <v>398</v>
      </c>
      <c r="D20" s="2" t="s">
        <v>399</v>
      </c>
      <c r="E20" s="2"/>
      <c r="F20" s="2"/>
      <c r="G20" s="1" t="s">
        <v>174</v>
      </c>
    </row>
    <row r="21" spans="1:12" x14ac:dyDescent="0.25">
      <c r="A21" s="2" t="s">
        <v>80</v>
      </c>
      <c r="B21" s="2">
        <v>2</v>
      </c>
      <c r="C21" s="2" t="s">
        <v>401</v>
      </c>
      <c r="D21" s="2" t="s">
        <v>400</v>
      </c>
      <c r="E21" s="2"/>
      <c r="F21" s="2"/>
      <c r="G21" s="1" t="s">
        <v>174</v>
      </c>
    </row>
    <row r="22" spans="1:12" x14ac:dyDescent="0.25">
      <c r="A22" s="2" t="s">
        <v>81</v>
      </c>
      <c r="B22" s="2">
        <v>2</v>
      </c>
      <c r="C22" s="2" t="s">
        <v>402</v>
      </c>
      <c r="D22" s="2" t="s">
        <v>403</v>
      </c>
      <c r="E22" s="2"/>
      <c r="F22" s="2"/>
      <c r="G22" s="1" t="s">
        <v>174</v>
      </c>
    </row>
    <row r="23" spans="1:12" x14ac:dyDescent="0.25">
      <c r="A23" s="2" t="s">
        <v>82</v>
      </c>
      <c r="B23" s="2">
        <v>2</v>
      </c>
      <c r="C23" s="2" t="s">
        <v>404</v>
      </c>
      <c r="D23" s="2" t="s">
        <v>405</v>
      </c>
      <c r="E23" s="2"/>
      <c r="F23" s="2"/>
      <c r="G23" s="1" t="s">
        <v>174</v>
      </c>
    </row>
    <row r="24" spans="1:12" x14ac:dyDescent="0.25">
      <c r="A24" s="2" t="s">
        <v>83</v>
      </c>
      <c r="B24" s="2">
        <v>2</v>
      </c>
      <c r="C24" s="2" t="s">
        <v>406</v>
      </c>
      <c r="D24" s="2" t="s">
        <v>408</v>
      </c>
      <c r="E24" s="2"/>
      <c r="F24" s="2"/>
      <c r="G24" s="1" t="s">
        <v>174</v>
      </c>
    </row>
    <row r="25" spans="1:12" x14ac:dyDescent="0.25">
      <c r="A25" s="2" t="s">
        <v>84</v>
      </c>
      <c r="B25" s="2">
        <v>1</v>
      </c>
      <c r="C25" s="2" t="s">
        <v>409</v>
      </c>
      <c r="D25" s="2"/>
      <c r="E25" s="2"/>
      <c r="F25" s="2"/>
      <c r="G25" s="1" t="s">
        <v>170</v>
      </c>
    </row>
    <row r="26" spans="1:12" x14ac:dyDescent="0.25">
      <c r="A26" s="2" t="s">
        <v>85</v>
      </c>
      <c r="B26" s="2">
        <v>3</v>
      </c>
      <c r="C26" s="2" t="s">
        <v>410</v>
      </c>
      <c r="D26" s="2" t="s">
        <v>411</v>
      </c>
      <c r="E26" s="2" t="s">
        <v>412</v>
      </c>
      <c r="F26" s="2"/>
      <c r="G26" s="1" t="s">
        <v>176</v>
      </c>
    </row>
    <row r="27" spans="1:12" x14ac:dyDescent="0.25">
      <c r="A27" s="18" t="s">
        <v>86</v>
      </c>
      <c r="B27" s="18">
        <v>2</v>
      </c>
      <c r="C27" s="18" t="s">
        <v>417</v>
      </c>
      <c r="D27" s="18" t="s">
        <v>413</v>
      </c>
      <c r="E27" s="18"/>
      <c r="F27" s="18"/>
      <c r="G27" s="1" t="s">
        <v>174</v>
      </c>
    </row>
    <row r="28" spans="1:12" x14ac:dyDescent="0.25">
      <c r="A28" s="2" t="s">
        <v>87</v>
      </c>
      <c r="B28" s="2">
        <v>2</v>
      </c>
      <c r="C28" s="2" t="s">
        <v>414</v>
      </c>
      <c r="D28" s="2" t="s">
        <v>416</v>
      </c>
      <c r="E28" s="2"/>
      <c r="F28" s="2"/>
      <c r="G28" s="1" t="s">
        <v>174</v>
      </c>
    </row>
    <row r="29" spans="1:12" x14ac:dyDescent="0.25">
      <c r="A29" s="2" t="s">
        <v>88</v>
      </c>
      <c r="B29" s="2">
        <v>2</v>
      </c>
      <c r="C29" s="2" t="s">
        <v>407</v>
      </c>
      <c r="D29" s="2" t="s">
        <v>418</v>
      </c>
      <c r="E29" s="2"/>
      <c r="F29" s="2"/>
      <c r="G29" s="1" t="s">
        <v>174</v>
      </c>
    </row>
    <row r="30" spans="1:12" x14ac:dyDescent="0.25">
      <c r="A30" s="2" t="s">
        <v>89</v>
      </c>
      <c r="B30" s="2">
        <v>2</v>
      </c>
      <c r="C30" s="2" t="s">
        <v>419</v>
      </c>
      <c r="D30" s="2" t="s">
        <v>420</v>
      </c>
      <c r="F30" s="2"/>
      <c r="G30" s="1" t="s">
        <v>174</v>
      </c>
    </row>
    <row r="31" spans="1:12" s="165" customFormat="1" x14ac:dyDescent="0.25">
      <c r="A31" s="2" t="s">
        <v>707</v>
      </c>
      <c r="B31" s="2">
        <v>2</v>
      </c>
      <c r="C31" s="2" t="s">
        <v>421</v>
      </c>
      <c r="D31" s="2" t="s">
        <v>458</v>
      </c>
      <c r="E31" s="2"/>
      <c r="F31" s="2"/>
      <c r="G31" s="1" t="s">
        <v>174</v>
      </c>
    </row>
    <row r="32" spans="1:12" x14ac:dyDescent="0.25">
      <c r="A32" s="2" t="s">
        <v>90</v>
      </c>
      <c r="B32" s="2">
        <v>2</v>
      </c>
      <c r="C32" s="2" t="s">
        <v>422</v>
      </c>
      <c r="D32" s="2" t="s">
        <v>423</v>
      </c>
      <c r="E32" s="2"/>
      <c r="F32" s="2"/>
      <c r="G32" s="1" t="s">
        <v>174</v>
      </c>
    </row>
    <row r="33" spans="1:7" x14ac:dyDescent="0.25">
      <c r="A33" s="2" t="s">
        <v>91</v>
      </c>
      <c r="B33" s="2">
        <v>2</v>
      </c>
      <c r="C33" s="2" t="s">
        <v>423</v>
      </c>
      <c r="D33" s="2" t="s">
        <v>424</v>
      </c>
      <c r="E33" s="2"/>
      <c r="F33" s="2"/>
      <c r="G33" s="1" t="s">
        <v>174</v>
      </c>
    </row>
    <row r="34" spans="1:7" x14ac:dyDescent="0.25">
      <c r="A34" s="2" t="s">
        <v>92</v>
      </c>
      <c r="B34" s="2">
        <v>2</v>
      </c>
      <c r="C34" s="2" t="s">
        <v>415</v>
      </c>
      <c r="D34" s="2" t="s">
        <v>425</v>
      </c>
      <c r="E34" s="2"/>
      <c r="F34" s="2"/>
      <c r="G34" s="1" t="s">
        <v>174</v>
      </c>
    </row>
    <row r="35" spans="1:7" x14ac:dyDescent="0.25">
      <c r="A35" s="2" t="s">
        <v>93</v>
      </c>
      <c r="B35" s="2">
        <v>2</v>
      </c>
      <c r="C35" s="2" t="s">
        <v>426</v>
      </c>
      <c r="D35" s="2" t="s">
        <v>427</v>
      </c>
      <c r="E35" s="2"/>
      <c r="F35" s="2"/>
      <c r="G35" s="1" t="s">
        <v>174</v>
      </c>
    </row>
    <row r="36" spans="1:7" x14ac:dyDescent="0.25">
      <c r="A36" s="2" t="s">
        <v>94</v>
      </c>
      <c r="B36" s="2">
        <v>2</v>
      </c>
      <c r="C36" s="2" t="s">
        <v>428</v>
      </c>
      <c r="D36" s="2" t="s">
        <v>429</v>
      </c>
      <c r="E36" s="2"/>
      <c r="F36" s="2"/>
      <c r="G36" s="1" t="s">
        <v>174</v>
      </c>
    </row>
    <row r="37" spans="1:7" x14ac:dyDescent="0.25">
      <c r="A37" s="2" t="s">
        <v>95</v>
      </c>
      <c r="B37" s="2">
        <v>1</v>
      </c>
      <c r="C37" s="2" t="s">
        <v>430</v>
      </c>
      <c r="D37" s="2"/>
      <c r="E37" s="2"/>
      <c r="F37" s="2"/>
      <c r="G37" s="1" t="s">
        <v>170</v>
      </c>
    </row>
    <row r="38" spans="1:7" x14ac:dyDescent="0.25">
      <c r="A38" s="2" t="s">
        <v>96</v>
      </c>
      <c r="B38" s="2">
        <v>2</v>
      </c>
      <c r="C38" s="2" t="s">
        <v>431</v>
      </c>
      <c r="D38" s="2" t="s">
        <v>470</v>
      </c>
      <c r="E38" s="2"/>
      <c r="F38" s="2"/>
      <c r="G38" s="1" t="s">
        <v>174</v>
      </c>
    </row>
    <row r="39" spans="1:7" x14ac:dyDescent="0.25">
      <c r="A39" s="2" t="s">
        <v>97</v>
      </c>
      <c r="B39" s="2">
        <v>2</v>
      </c>
      <c r="C39" s="2" t="s">
        <v>432</v>
      </c>
      <c r="D39" s="2" t="s">
        <v>433</v>
      </c>
      <c r="E39" s="2"/>
      <c r="F39" s="2"/>
      <c r="G39" s="1" t="s">
        <v>174</v>
      </c>
    </row>
    <row r="40" spans="1:7" x14ac:dyDescent="0.25">
      <c r="A40" s="2" t="s">
        <v>98</v>
      </c>
      <c r="B40" s="2">
        <v>1</v>
      </c>
      <c r="C40" s="2" t="s">
        <v>434</v>
      </c>
      <c r="D40" s="2"/>
      <c r="E40" s="2"/>
      <c r="F40" s="2"/>
      <c r="G40" s="1" t="s">
        <v>170</v>
      </c>
    </row>
    <row r="41" spans="1:7" x14ac:dyDescent="0.25">
      <c r="A41" s="2" t="s">
        <v>99</v>
      </c>
      <c r="B41" s="2">
        <v>1</v>
      </c>
      <c r="C41" s="2" t="s">
        <v>435</v>
      </c>
      <c r="D41" s="2"/>
      <c r="E41" s="2"/>
      <c r="F41" s="2"/>
      <c r="G41" s="1" t="s">
        <v>170</v>
      </c>
    </row>
    <row r="42" spans="1:7" x14ac:dyDescent="0.25">
      <c r="A42" s="2" t="s">
        <v>100</v>
      </c>
      <c r="B42" s="2">
        <v>1</v>
      </c>
      <c r="C42" s="2" t="s">
        <v>436</v>
      </c>
      <c r="D42" s="2"/>
      <c r="E42" s="2"/>
      <c r="F42" s="2"/>
      <c r="G42" s="1" t="s">
        <v>170</v>
      </c>
    </row>
    <row r="43" spans="1:7" x14ac:dyDescent="0.25">
      <c r="A43" s="2" t="s">
        <v>101</v>
      </c>
      <c r="B43" s="2">
        <v>1</v>
      </c>
      <c r="C43" s="2" t="s">
        <v>437</v>
      </c>
      <c r="D43" s="2"/>
      <c r="E43" s="2"/>
      <c r="F43" s="2"/>
      <c r="G43" s="1" t="s">
        <v>170</v>
      </c>
    </row>
    <row r="44" spans="1:7" x14ac:dyDescent="0.25">
      <c r="A44" s="2" t="s">
        <v>102</v>
      </c>
      <c r="B44" s="2">
        <v>1</v>
      </c>
      <c r="C44" s="2" t="s">
        <v>438</v>
      </c>
      <c r="D44" s="2"/>
      <c r="E44" s="2"/>
      <c r="F44" s="1" t="s">
        <v>459</v>
      </c>
      <c r="G44" s="1" t="s">
        <v>170</v>
      </c>
    </row>
    <row r="45" spans="1:7" x14ac:dyDescent="0.25">
      <c r="A45" s="2" t="s">
        <v>103</v>
      </c>
      <c r="B45" s="2">
        <v>1</v>
      </c>
      <c r="C45" s="2" t="s">
        <v>438</v>
      </c>
      <c r="D45" s="2"/>
      <c r="E45" s="2"/>
      <c r="F45" s="1" t="s">
        <v>460</v>
      </c>
      <c r="G45" s="1" t="s">
        <v>170</v>
      </c>
    </row>
    <row r="46" spans="1:7" x14ac:dyDescent="0.25">
      <c r="A46" s="2" t="s">
        <v>104</v>
      </c>
      <c r="B46" s="2">
        <v>1</v>
      </c>
      <c r="C46" s="2" t="s">
        <v>439</v>
      </c>
      <c r="D46" s="2"/>
      <c r="E46" s="2"/>
      <c r="F46" s="1"/>
      <c r="G46" s="1" t="s">
        <v>170</v>
      </c>
    </row>
    <row r="47" spans="1:7" x14ac:dyDescent="0.25">
      <c r="A47" s="2" t="s">
        <v>105</v>
      </c>
      <c r="B47" s="2">
        <v>2</v>
      </c>
      <c r="C47" s="2" t="s">
        <v>440</v>
      </c>
      <c r="D47" s="2" t="s">
        <v>441</v>
      </c>
      <c r="E47" s="2"/>
      <c r="F47" s="2"/>
      <c r="G47" s="1" t="s">
        <v>174</v>
      </c>
    </row>
    <row r="48" spans="1:7" x14ac:dyDescent="0.25">
      <c r="A48" s="2" t="s">
        <v>106</v>
      </c>
      <c r="B48" s="2">
        <v>1</v>
      </c>
      <c r="C48" s="2" t="s">
        <v>442</v>
      </c>
      <c r="D48" s="2"/>
      <c r="E48" s="2"/>
      <c r="F48" s="1"/>
      <c r="G48" s="1" t="s">
        <v>170</v>
      </c>
    </row>
    <row r="49" spans="1:7" x14ac:dyDescent="0.25">
      <c r="A49" s="2" t="s">
        <v>107</v>
      </c>
      <c r="B49" s="2">
        <v>1</v>
      </c>
      <c r="C49" s="2" t="s">
        <v>443</v>
      </c>
      <c r="D49" s="2"/>
      <c r="E49" s="2"/>
      <c r="F49" s="1" t="s">
        <v>461</v>
      </c>
      <c r="G49" s="1" t="s">
        <v>170</v>
      </c>
    </row>
    <row r="50" spans="1:7" x14ac:dyDescent="0.25">
      <c r="A50" s="2" t="s">
        <v>108</v>
      </c>
      <c r="B50" s="2">
        <v>1</v>
      </c>
      <c r="C50" s="2" t="s">
        <v>443</v>
      </c>
      <c r="D50" s="2"/>
      <c r="E50" s="2"/>
      <c r="F50" s="1" t="s">
        <v>462</v>
      </c>
      <c r="G50" s="1" t="s">
        <v>170</v>
      </c>
    </row>
    <row r="51" spans="1:7" x14ac:dyDescent="0.25">
      <c r="A51" s="2" t="s">
        <v>109</v>
      </c>
      <c r="B51" s="2">
        <v>1</v>
      </c>
      <c r="C51" s="2" t="s">
        <v>444</v>
      </c>
      <c r="D51" s="2"/>
      <c r="E51" s="2"/>
      <c r="F51" s="1" t="s">
        <v>463</v>
      </c>
      <c r="G51" s="1" t="s">
        <v>170</v>
      </c>
    </row>
    <row r="52" spans="1:7" x14ac:dyDescent="0.25">
      <c r="A52" s="2" t="s">
        <v>110</v>
      </c>
      <c r="B52" s="2">
        <v>1</v>
      </c>
      <c r="C52" s="2" t="s">
        <v>444</v>
      </c>
      <c r="D52" s="2"/>
      <c r="E52" s="2"/>
      <c r="F52" s="1" t="s">
        <v>464</v>
      </c>
      <c r="G52" s="1" t="s">
        <v>170</v>
      </c>
    </row>
    <row r="53" spans="1:7" x14ac:dyDescent="0.25">
      <c r="A53" s="2" t="s">
        <v>111</v>
      </c>
      <c r="B53" s="2">
        <v>1</v>
      </c>
      <c r="C53" s="2" t="s">
        <v>444</v>
      </c>
      <c r="D53" s="2"/>
      <c r="E53" s="2"/>
      <c r="F53" s="1" t="s">
        <v>465</v>
      </c>
      <c r="G53" s="1" t="s">
        <v>170</v>
      </c>
    </row>
    <row r="54" spans="1:7" x14ac:dyDescent="0.25">
      <c r="A54" s="2" t="s">
        <v>112</v>
      </c>
      <c r="B54" s="2">
        <v>1</v>
      </c>
      <c r="C54" s="2" t="s">
        <v>445</v>
      </c>
      <c r="D54" s="2"/>
      <c r="E54" s="2"/>
      <c r="F54" s="1"/>
      <c r="G54" s="1" t="s">
        <v>170</v>
      </c>
    </row>
    <row r="55" spans="1:7" x14ac:dyDescent="0.25">
      <c r="A55" s="2" t="s">
        <v>113</v>
      </c>
      <c r="B55" s="2">
        <v>2</v>
      </c>
      <c r="C55" s="2" t="s">
        <v>446</v>
      </c>
      <c r="D55" s="2" t="s">
        <v>447</v>
      </c>
      <c r="E55" s="2"/>
      <c r="F55" s="2"/>
      <c r="G55" s="1" t="s">
        <v>174</v>
      </c>
    </row>
    <row r="56" spans="1:7" x14ac:dyDescent="0.25">
      <c r="A56" s="2" t="s">
        <v>114</v>
      </c>
      <c r="B56" s="2">
        <v>1</v>
      </c>
      <c r="C56" s="2" t="s">
        <v>448</v>
      </c>
      <c r="D56" s="2"/>
      <c r="E56" s="2"/>
      <c r="F56" s="1"/>
      <c r="G56" s="1" t="s">
        <v>170</v>
      </c>
    </row>
    <row r="57" spans="1:7" x14ac:dyDescent="0.25">
      <c r="A57" s="2" t="s">
        <v>115</v>
      </c>
      <c r="B57" s="2">
        <v>2</v>
      </c>
      <c r="C57" s="2" t="s">
        <v>449</v>
      </c>
      <c r="D57" s="2" t="s">
        <v>450</v>
      </c>
      <c r="E57" s="2"/>
      <c r="F57" s="2"/>
      <c r="G57" s="1" t="s">
        <v>174</v>
      </c>
    </row>
    <row r="58" spans="1:7" x14ac:dyDescent="0.25">
      <c r="A58" s="2" t="s">
        <v>116</v>
      </c>
      <c r="B58" s="2">
        <v>1</v>
      </c>
      <c r="C58" s="2" t="s">
        <v>451</v>
      </c>
      <c r="D58" s="2"/>
      <c r="E58" s="2"/>
      <c r="F58" s="1" t="s">
        <v>467</v>
      </c>
      <c r="G58" s="1" t="s">
        <v>170</v>
      </c>
    </row>
    <row r="59" spans="1:7" x14ac:dyDescent="0.25">
      <c r="A59" s="2" t="s">
        <v>117</v>
      </c>
      <c r="B59" s="2">
        <v>1</v>
      </c>
      <c r="C59" s="2" t="s">
        <v>451</v>
      </c>
      <c r="D59" s="2"/>
      <c r="E59" s="2"/>
      <c r="F59" s="1" t="s">
        <v>466</v>
      </c>
      <c r="G59" s="1" t="s">
        <v>170</v>
      </c>
    </row>
    <row r="60" spans="1:7" x14ac:dyDescent="0.25">
      <c r="A60" s="2" t="s">
        <v>118</v>
      </c>
      <c r="B60" s="2">
        <v>1</v>
      </c>
      <c r="C60" s="2" t="s">
        <v>452</v>
      </c>
      <c r="D60" s="2"/>
      <c r="E60" s="2"/>
      <c r="F60" s="1"/>
      <c r="G60" s="1" t="s">
        <v>170</v>
      </c>
    </row>
    <row r="61" spans="1:7" x14ac:dyDescent="0.25">
      <c r="A61" s="2" t="s">
        <v>119</v>
      </c>
      <c r="B61" s="2">
        <v>2</v>
      </c>
      <c r="C61" s="2" t="s">
        <v>453</v>
      </c>
      <c r="D61" s="2" t="s">
        <v>454</v>
      </c>
      <c r="E61" s="2"/>
      <c r="F61" s="1" t="s">
        <v>478</v>
      </c>
      <c r="G61" s="1" t="s">
        <v>174</v>
      </c>
    </row>
    <row r="62" spans="1:7" x14ac:dyDescent="0.25">
      <c r="A62" s="2" t="s">
        <v>120</v>
      </c>
      <c r="B62" s="2">
        <v>3</v>
      </c>
      <c r="C62" s="2" t="s">
        <v>453</v>
      </c>
      <c r="D62" s="2" t="s">
        <v>454</v>
      </c>
      <c r="E62" s="2" t="s">
        <v>470</v>
      </c>
      <c r="F62" s="1" t="s">
        <v>477</v>
      </c>
      <c r="G62" s="1" t="s">
        <v>177</v>
      </c>
    </row>
    <row r="63" spans="1:7" x14ac:dyDescent="0.25">
      <c r="A63" s="2" t="s">
        <v>121</v>
      </c>
      <c r="B63" s="2">
        <v>1</v>
      </c>
      <c r="C63" s="2" t="s">
        <v>455</v>
      </c>
      <c r="D63" s="2"/>
      <c r="E63" s="2"/>
      <c r="F63" s="1" t="s">
        <v>468</v>
      </c>
      <c r="G63" s="1" t="s">
        <v>170</v>
      </c>
    </row>
    <row r="64" spans="1:7" x14ac:dyDescent="0.25">
      <c r="A64" s="2" t="s">
        <v>122</v>
      </c>
      <c r="B64" s="2">
        <v>1</v>
      </c>
      <c r="C64" s="2" t="s">
        <v>455</v>
      </c>
      <c r="D64" s="2"/>
      <c r="E64" s="2"/>
      <c r="F64" s="1" t="s">
        <v>469</v>
      </c>
      <c r="G64" s="1" t="s">
        <v>170</v>
      </c>
    </row>
    <row r="65" spans="1:7" x14ac:dyDescent="0.25">
      <c r="A65" s="2" t="s">
        <v>123</v>
      </c>
      <c r="B65" s="2">
        <v>1</v>
      </c>
      <c r="C65" s="2" t="s">
        <v>456</v>
      </c>
      <c r="D65" s="2"/>
      <c r="E65" s="2"/>
      <c r="F65" s="1" t="s">
        <v>392</v>
      </c>
      <c r="G65" s="1" t="s">
        <v>170</v>
      </c>
    </row>
    <row r="66" spans="1:7" x14ac:dyDescent="0.25">
      <c r="A66" s="2" t="s">
        <v>471</v>
      </c>
      <c r="B66" s="2">
        <v>2</v>
      </c>
      <c r="C66" s="2" t="s">
        <v>457</v>
      </c>
      <c r="D66" s="2" t="s">
        <v>472</v>
      </c>
      <c r="E66" s="2"/>
      <c r="F66" s="1"/>
      <c r="G66" s="1" t="s">
        <v>174</v>
      </c>
    </row>
    <row r="67" spans="1:7" x14ac:dyDescent="0.25">
      <c r="A67" s="2" t="s">
        <v>473</v>
      </c>
      <c r="B67" s="2">
        <v>2</v>
      </c>
      <c r="C67" s="2" t="s">
        <v>453</v>
      </c>
      <c r="D67" s="2" t="s">
        <v>454</v>
      </c>
      <c r="E67" s="2"/>
      <c r="F67" s="1" t="s">
        <v>476</v>
      </c>
      <c r="G67" s="1" t="s">
        <v>174</v>
      </c>
    </row>
    <row r="68" spans="1:7" x14ac:dyDescent="0.25">
      <c r="A68" s="2" t="s">
        <v>475</v>
      </c>
      <c r="B68" s="2">
        <v>1</v>
      </c>
      <c r="C68" s="2" t="s">
        <v>472</v>
      </c>
      <c r="D68" s="2" t="s">
        <v>474</v>
      </c>
      <c r="E68" s="2"/>
      <c r="F68" s="1"/>
      <c r="G68" s="1" t="s">
        <v>170</v>
      </c>
    </row>
    <row r="69" spans="1:7" x14ac:dyDescent="0.25">
      <c r="A69" s="2" t="s">
        <v>475</v>
      </c>
      <c r="B69" s="2">
        <v>2</v>
      </c>
      <c r="C69" s="2" t="s">
        <v>698</v>
      </c>
      <c r="D69" s="2" t="s">
        <v>699</v>
      </c>
      <c r="E69" s="2"/>
      <c r="F69" s="1"/>
      <c r="G69" s="1" t="s">
        <v>174</v>
      </c>
    </row>
  </sheetData>
  <sortState ref="A11:I68">
    <sortCondition ref="A11:A68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zoomScaleNormal="100" workbookViewId="0">
      <selection activeCell="K62" sqref="K62"/>
    </sheetView>
  </sheetViews>
  <sheetFormatPr baseColWidth="10" defaultRowHeight="15" x14ac:dyDescent="0.25"/>
  <cols>
    <col min="1" max="1" width="16.140625" customWidth="1"/>
    <col min="2" max="2" width="18.28515625" style="101" customWidth="1"/>
    <col min="3" max="3" width="16" customWidth="1"/>
    <col min="4" max="4" width="15.42578125" customWidth="1"/>
    <col min="5" max="5" width="16.85546875" style="102" customWidth="1"/>
    <col min="6" max="6" width="16.85546875" style="168" customWidth="1"/>
    <col min="7" max="7" width="16" customWidth="1"/>
    <col min="8" max="8" width="15.28515625" customWidth="1"/>
    <col min="9" max="9" width="18.42578125" customWidth="1"/>
    <col min="10" max="10" width="18.85546875" customWidth="1"/>
    <col min="11" max="11" width="13.42578125" customWidth="1"/>
    <col min="13" max="13" width="13" customWidth="1"/>
    <col min="14" max="14" width="14.28515625" customWidth="1"/>
    <col min="16" max="16" width="16.28515625" customWidth="1"/>
    <col min="17" max="17" width="19.7109375" customWidth="1"/>
    <col min="18" max="18" width="17.5703125" customWidth="1"/>
  </cols>
  <sheetData>
    <row r="1" spans="1:13" s="157" customFormat="1" ht="18.75" x14ac:dyDescent="0.3">
      <c r="A1" s="103" t="s">
        <v>553</v>
      </c>
      <c r="B1" s="183"/>
      <c r="C1" s="183"/>
      <c r="D1" s="183"/>
      <c r="E1" s="109"/>
      <c r="F1" s="109"/>
      <c r="G1" s="109"/>
      <c r="H1" s="109"/>
      <c r="I1" s="104"/>
      <c r="J1" s="179"/>
    </row>
    <row r="2" spans="1:13" s="157" customFormat="1" ht="18.75" x14ac:dyDescent="0.3">
      <c r="A2" s="105" t="s">
        <v>554</v>
      </c>
      <c r="B2" s="184"/>
      <c r="C2" s="184"/>
      <c r="D2" s="184"/>
      <c r="E2" s="110"/>
      <c r="F2" s="110"/>
      <c r="G2" s="110"/>
      <c r="H2" s="110"/>
      <c r="I2" s="106"/>
      <c r="J2" s="179"/>
    </row>
    <row r="3" spans="1:13" s="157" customFormat="1" ht="18.75" x14ac:dyDescent="0.3">
      <c r="A3" s="105" t="s">
        <v>656</v>
      </c>
      <c r="B3" s="184"/>
      <c r="C3" s="184"/>
      <c r="D3" s="184"/>
      <c r="E3" s="110"/>
      <c r="F3" s="110"/>
      <c r="G3" s="110"/>
      <c r="H3" s="110"/>
      <c r="I3" s="106"/>
      <c r="J3" s="179"/>
    </row>
    <row r="4" spans="1:13" s="157" customFormat="1" ht="12.75" customHeight="1" thickBot="1" x14ac:dyDescent="0.35">
      <c r="A4" s="107"/>
      <c r="B4" s="185"/>
      <c r="C4" s="185"/>
      <c r="D4" s="185"/>
      <c r="E4" s="111"/>
      <c r="F4" s="111"/>
      <c r="G4" s="111"/>
      <c r="H4" s="111"/>
      <c r="I4" s="108" t="s">
        <v>556</v>
      </c>
      <c r="J4" s="179"/>
    </row>
    <row r="5" spans="1:13" s="157" customFormat="1" x14ac:dyDescent="0.25">
      <c r="F5" s="168"/>
    </row>
    <row r="6" spans="1:13" x14ac:dyDescent="0.25">
      <c r="A6" s="159" t="s">
        <v>657</v>
      </c>
      <c r="B6" s="159"/>
      <c r="C6" s="159"/>
      <c r="D6" s="159"/>
      <c r="E6" s="159"/>
      <c r="F6" s="159"/>
      <c r="G6" s="157"/>
      <c r="H6" s="157"/>
      <c r="I6" s="157"/>
      <c r="J6" s="157"/>
      <c r="K6" s="157"/>
      <c r="L6" s="157"/>
      <c r="M6" s="157"/>
    </row>
    <row r="7" spans="1:13" x14ac:dyDescent="0.25">
      <c r="A7" s="101"/>
      <c r="C7" s="101"/>
      <c r="D7" s="101"/>
      <c r="G7" s="101"/>
      <c r="H7" s="101"/>
      <c r="I7" s="101"/>
      <c r="J7" s="101"/>
      <c r="K7" s="101"/>
    </row>
    <row r="8" spans="1:13" x14ac:dyDescent="0.25">
      <c r="A8" s="12" t="s">
        <v>525</v>
      </c>
      <c r="B8" s="12" t="s">
        <v>613</v>
      </c>
      <c r="C8" s="12" t="s">
        <v>655</v>
      </c>
      <c r="D8" s="12" t="s">
        <v>614</v>
      </c>
    </row>
    <row r="9" spans="1:13" x14ac:dyDescent="0.25">
      <c r="A9" s="1" t="s">
        <v>549</v>
      </c>
      <c r="B9" s="1" t="s">
        <v>615</v>
      </c>
      <c r="C9" s="1" t="s">
        <v>612</v>
      </c>
      <c r="D9" s="1" t="s">
        <v>550</v>
      </c>
    </row>
    <row r="10" spans="1:13" x14ac:dyDescent="0.25">
      <c r="A10" s="1" t="s">
        <v>528</v>
      </c>
      <c r="B10" s="1" t="s">
        <v>616</v>
      </c>
      <c r="C10" s="1" t="s">
        <v>612</v>
      </c>
      <c r="D10" s="1" t="s">
        <v>526</v>
      </c>
    </row>
    <row r="11" spans="1:13" x14ac:dyDescent="0.25">
      <c r="A11" s="1" t="s">
        <v>529</v>
      </c>
      <c r="B11" s="1" t="s">
        <v>617</v>
      </c>
      <c r="C11" s="1" t="s">
        <v>612</v>
      </c>
      <c r="D11" s="1" t="s">
        <v>527</v>
      </c>
    </row>
    <row r="12" spans="1:13" x14ac:dyDescent="0.25">
      <c r="A12" s="1" t="s">
        <v>530</v>
      </c>
      <c r="B12" s="1" t="s">
        <v>618</v>
      </c>
      <c r="C12" s="1" t="s">
        <v>653</v>
      </c>
      <c r="D12" s="1" t="s">
        <v>548</v>
      </c>
    </row>
    <row r="13" spans="1:13" x14ac:dyDescent="0.25">
      <c r="A13" s="1" t="s">
        <v>531</v>
      </c>
      <c r="B13" s="1" t="s">
        <v>552</v>
      </c>
      <c r="C13" s="1" t="s">
        <v>612</v>
      </c>
      <c r="D13" s="1" t="s">
        <v>619</v>
      </c>
    </row>
    <row r="14" spans="1:13" x14ac:dyDescent="0.25">
      <c r="A14" s="1" t="s">
        <v>532</v>
      </c>
      <c r="B14" s="1" t="s">
        <v>620</v>
      </c>
      <c r="C14" s="1" t="s">
        <v>612</v>
      </c>
      <c r="D14" s="1" t="s">
        <v>619</v>
      </c>
    </row>
    <row r="15" spans="1:13" x14ac:dyDescent="0.25">
      <c r="A15" s="1" t="s">
        <v>533</v>
      </c>
      <c r="B15" s="1" t="s">
        <v>30</v>
      </c>
      <c r="C15" s="1" t="s">
        <v>612</v>
      </c>
      <c r="D15" s="1" t="s">
        <v>619</v>
      </c>
    </row>
    <row r="16" spans="1:13" x14ac:dyDescent="0.25">
      <c r="A16" s="1" t="s">
        <v>534</v>
      </c>
      <c r="B16" s="1" t="s">
        <v>621</v>
      </c>
      <c r="C16" s="1" t="s">
        <v>653</v>
      </c>
      <c r="D16" s="1" t="s">
        <v>619</v>
      </c>
    </row>
    <row r="17" spans="1:9" x14ac:dyDescent="0.25">
      <c r="A17" s="1" t="s">
        <v>535</v>
      </c>
      <c r="B17" s="1" t="s">
        <v>622</v>
      </c>
      <c r="C17" s="1" t="s">
        <v>612</v>
      </c>
      <c r="D17" s="1" t="s">
        <v>619</v>
      </c>
    </row>
    <row r="18" spans="1:9" x14ac:dyDescent="0.25">
      <c r="A18" s="1" t="s">
        <v>536</v>
      </c>
      <c r="B18" s="1" t="s">
        <v>654</v>
      </c>
      <c r="C18" s="1" t="s">
        <v>612</v>
      </c>
      <c r="D18" s="1" t="s">
        <v>619</v>
      </c>
    </row>
    <row r="19" spans="1:9" x14ac:dyDescent="0.25">
      <c r="A19" s="1" t="s">
        <v>537</v>
      </c>
      <c r="B19" s="1" t="s">
        <v>623</v>
      </c>
      <c r="C19" s="1" t="s">
        <v>612</v>
      </c>
      <c r="D19" s="1" t="s">
        <v>619</v>
      </c>
    </row>
    <row r="20" spans="1:9" x14ac:dyDescent="0.25">
      <c r="A20" s="1" t="s">
        <v>538</v>
      </c>
      <c r="B20" s="1" t="s">
        <v>30</v>
      </c>
      <c r="C20" s="1" t="s">
        <v>612</v>
      </c>
      <c r="D20" s="1" t="s">
        <v>663</v>
      </c>
    </row>
    <row r="21" spans="1:9" x14ac:dyDescent="0.25">
      <c r="A21" s="1" t="s">
        <v>539</v>
      </c>
      <c r="B21" s="1" t="s">
        <v>30</v>
      </c>
      <c r="C21" s="1" t="s">
        <v>612</v>
      </c>
      <c r="D21" s="1" t="s">
        <v>663</v>
      </c>
    </row>
    <row r="22" spans="1:9" x14ac:dyDescent="0.25">
      <c r="A22" s="1" t="s">
        <v>540</v>
      </c>
      <c r="B22" s="1" t="s">
        <v>658</v>
      </c>
      <c r="C22" s="1" t="s">
        <v>612</v>
      </c>
      <c r="D22" s="1" t="s">
        <v>663</v>
      </c>
    </row>
    <row r="23" spans="1:9" x14ac:dyDescent="0.25">
      <c r="A23" s="1" t="s">
        <v>541</v>
      </c>
      <c r="B23" s="1" t="s">
        <v>28</v>
      </c>
      <c r="C23" s="1" t="s">
        <v>612</v>
      </c>
      <c r="D23" s="1" t="s">
        <v>663</v>
      </c>
    </row>
    <row r="24" spans="1:9" x14ac:dyDescent="0.25">
      <c r="A24" s="1" t="s">
        <v>542</v>
      </c>
      <c r="B24" s="6" t="s">
        <v>662</v>
      </c>
      <c r="C24" s="1" t="s">
        <v>612</v>
      </c>
      <c r="D24" s="1" t="s">
        <v>664</v>
      </c>
    </row>
    <row r="25" spans="1:9" x14ac:dyDescent="0.25">
      <c r="A25" s="1" t="s">
        <v>543</v>
      </c>
      <c r="B25" s="6" t="s">
        <v>659</v>
      </c>
      <c r="C25" s="1" t="s">
        <v>612</v>
      </c>
      <c r="D25" s="1" t="s">
        <v>663</v>
      </c>
    </row>
    <row r="26" spans="1:9" x14ac:dyDescent="0.25">
      <c r="A26" s="1" t="s">
        <v>544</v>
      </c>
      <c r="B26" s="1" t="s">
        <v>661</v>
      </c>
      <c r="C26" s="1" t="s">
        <v>612</v>
      </c>
      <c r="D26" s="1" t="s">
        <v>663</v>
      </c>
    </row>
    <row r="27" spans="1:9" x14ac:dyDescent="0.25">
      <c r="A27" s="1" t="s">
        <v>545</v>
      </c>
      <c r="B27" s="1" t="s">
        <v>660</v>
      </c>
      <c r="C27" s="1" t="s">
        <v>612</v>
      </c>
      <c r="D27" s="1" t="s">
        <v>663</v>
      </c>
    </row>
    <row r="28" spans="1:9" x14ac:dyDescent="0.25">
      <c r="A28" s="1" t="s">
        <v>546</v>
      </c>
      <c r="B28" s="1" t="s">
        <v>659</v>
      </c>
      <c r="C28" s="1" t="s">
        <v>612</v>
      </c>
      <c r="D28" s="1" t="s">
        <v>630</v>
      </c>
    </row>
    <row r="29" spans="1:9" x14ac:dyDescent="0.25">
      <c r="A29" s="1" t="s">
        <v>547</v>
      </c>
      <c r="B29" s="1" t="s">
        <v>659</v>
      </c>
      <c r="C29" s="1" t="s">
        <v>612</v>
      </c>
      <c r="D29" s="1" t="s">
        <v>631</v>
      </c>
    </row>
    <row r="30" spans="1:9" x14ac:dyDescent="0.25">
      <c r="B30" s="157"/>
    </row>
    <row r="31" spans="1:9" s="157" customFormat="1" x14ac:dyDescent="0.25">
      <c r="F31" s="168"/>
    </row>
    <row r="32" spans="1:9" x14ac:dyDescent="0.25">
      <c r="A32" s="159" t="s">
        <v>726</v>
      </c>
      <c r="B32" s="159"/>
      <c r="C32" s="159"/>
      <c r="D32" s="159"/>
      <c r="E32" s="159"/>
      <c r="F32" s="159"/>
      <c r="G32" s="159"/>
      <c r="H32" s="159"/>
      <c r="I32" s="159"/>
    </row>
    <row r="33" spans="1:9" s="157" customFormat="1" ht="4.5" customHeight="1" x14ac:dyDescent="0.25">
      <c r="F33" s="168"/>
    </row>
    <row r="34" spans="1:9" x14ac:dyDescent="0.25">
      <c r="B34" s="164" t="s">
        <v>131</v>
      </c>
      <c r="C34" s="164" t="s">
        <v>131</v>
      </c>
      <c r="E34" s="164" t="s">
        <v>131</v>
      </c>
      <c r="F34" s="164" t="s">
        <v>652</v>
      </c>
      <c r="G34" s="164" t="s">
        <v>652</v>
      </c>
      <c r="H34" s="164" t="s">
        <v>652</v>
      </c>
      <c r="I34" s="164" t="s">
        <v>652</v>
      </c>
    </row>
    <row r="35" spans="1:9" x14ac:dyDescent="0.25">
      <c r="B35" s="97">
        <f>SUM(B38:B56)</f>
        <v>106</v>
      </c>
      <c r="C35" s="97">
        <f>SUM(C38:C56)</f>
        <v>165</v>
      </c>
      <c r="D35" s="162"/>
      <c r="E35" s="97">
        <f>SUM(E38:E56)</f>
        <v>497</v>
      </c>
      <c r="F35" s="163">
        <f>SUM(F37:F56)</f>
        <v>1</v>
      </c>
      <c r="G35" s="163">
        <f>SUM(G37:G56)</f>
        <v>1</v>
      </c>
      <c r="H35" s="97">
        <f>SUM(H37:H56)</f>
        <v>12</v>
      </c>
      <c r="I35" s="97">
        <f>SUM(I37:I56)</f>
        <v>7</v>
      </c>
    </row>
    <row r="36" spans="1:9" x14ac:dyDescent="0.25">
      <c r="A36" s="1" t="s">
        <v>624</v>
      </c>
      <c r="B36" s="164" t="s">
        <v>625</v>
      </c>
      <c r="C36" s="164" t="s">
        <v>626</v>
      </c>
      <c r="D36" s="164" t="s">
        <v>627</v>
      </c>
      <c r="E36" s="164" t="s">
        <v>666</v>
      </c>
      <c r="F36" s="164" t="s">
        <v>727</v>
      </c>
      <c r="G36" s="164" t="s">
        <v>628</v>
      </c>
      <c r="H36" s="164" t="s">
        <v>551</v>
      </c>
      <c r="I36" s="164" t="s">
        <v>632</v>
      </c>
    </row>
    <row r="37" spans="1:9" s="157" customFormat="1" x14ac:dyDescent="0.25">
      <c r="A37" s="1" t="s">
        <v>629</v>
      </c>
      <c r="B37" s="1"/>
      <c r="C37" s="1"/>
      <c r="D37" s="6"/>
      <c r="E37" s="160"/>
      <c r="F37" s="160"/>
      <c r="G37" s="160">
        <v>1</v>
      </c>
      <c r="H37" s="161"/>
      <c r="I37" s="161"/>
    </row>
    <row r="38" spans="1:9" x14ac:dyDescent="0.25">
      <c r="A38" s="2" t="s">
        <v>641</v>
      </c>
      <c r="B38" s="2">
        <v>17</v>
      </c>
      <c r="C38" s="2"/>
      <c r="D38" s="2">
        <v>3</v>
      </c>
      <c r="E38" s="161">
        <f>(B38*D38)+(C38*D38)</f>
        <v>51</v>
      </c>
      <c r="F38" s="161"/>
      <c r="G38" s="161"/>
      <c r="H38" s="161"/>
      <c r="I38" s="161">
        <v>1</v>
      </c>
    </row>
    <row r="39" spans="1:9" x14ac:dyDescent="0.25">
      <c r="A39" s="2" t="s">
        <v>642</v>
      </c>
      <c r="B39" s="2"/>
      <c r="C39" s="2">
        <v>7</v>
      </c>
      <c r="D39" s="2">
        <v>2</v>
      </c>
      <c r="E39" s="161">
        <f t="shared" ref="E39:E56" si="0">(B39*D39)+(C39*D39)</f>
        <v>14</v>
      </c>
      <c r="F39" s="161"/>
      <c r="G39" s="161"/>
      <c r="H39" s="161">
        <v>2</v>
      </c>
      <c r="I39" s="161"/>
    </row>
    <row r="40" spans="1:9" x14ac:dyDescent="0.25">
      <c r="A40" s="2" t="s">
        <v>643</v>
      </c>
      <c r="B40" s="2">
        <v>10</v>
      </c>
      <c r="C40" s="2"/>
      <c r="D40" s="2">
        <v>3</v>
      </c>
      <c r="E40" s="161">
        <f t="shared" si="0"/>
        <v>30</v>
      </c>
      <c r="F40" s="161"/>
      <c r="G40" s="161"/>
      <c r="H40" s="161">
        <v>1</v>
      </c>
      <c r="I40" s="161"/>
    </row>
    <row r="41" spans="1:9" x14ac:dyDescent="0.25">
      <c r="A41" s="2" t="s">
        <v>644</v>
      </c>
      <c r="B41" s="2"/>
      <c r="C41" s="2">
        <v>8</v>
      </c>
      <c r="D41" s="2">
        <v>1</v>
      </c>
      <c r="E41" s="161">
        <f t="shared" si="0"/>
        <v>8</v>
      </c>
      <c r="F41" s="161"/>
      <c r="G41" s="161"/>
      <c r="H41" s="161">
        <v>1</v>
      </c>
      <c r="I41" s="161"/>
    </row>
    <row r="42" spans="1:9" x14ac:dyDescent="0.25">
      <c r="A42" s="2" t="s">
        <v>645</v>
      </c>
      <c r="B42" s="2"/>
      <c r="C42" s="2">
        <v>15</v>
      </c>
      <c r="D42" s="2">
        <v>1</v>
      </c>
      <c r="E42" s="161">
        <f t="shared" si="0"/>
        <v>15</v>
      </c>
      <c r="F42" s="161"/>
      <c r="G42" s="161"/>
      <c r="H42" s="161"/>
      <c r="I42" s="161">
        <v>1</v>
      </c>
    </row>
    <row r="43" spans="1:9" x14ac:dyDescent="0.25">
      <c r="A43" s="2" t="s">
        <v>646</v>
      </c>
      <c r="B43" s="2">
        <v>19</v>
      </c>
      <c r="C43" s="2"/>
      <c r="D43" s="2">
        <v>4</v>
      </c>
      <c r="E43" s="161">
        <f t="shared" si="0"/>
        <v>76</v>
      </c>
      <c r="F43" s="161"/>
      <c r="G43" s="161"/>
      <c r="H43" s="161">
        <v>1</v>
      </c>
      <c r="I43" s="161"/>
    </row>
    <row r="44" spans="1:9" x14ac:dyDescent="0.25">
      <c r="A44" s="2" t="s">
        <v>647</v>
      </c>
      <c r="B44" s="2"/>
      <c r="C44" s="2">
        <v>15</v>
      </c>
      <c r="D44" s="2">
        <v>2</v>
      </c>
      <c r="E44" s="161">
        <f t="shared" si="0"/>
        <v>30</v>
      </c>
      <c r="F44" s="161"/>
      <c r="G44" s="161"/>
      <c r="H44" s="161"/>
      <c r="I44" s="161">
        <v>1</v>
      </c>
    </row>
    <row r="45" spans="1:9" x14ac:dyDescent="0.25">
      <c r="A45" s="2" t="s">
        <v>648</v>
      </c>
      <c r="B45" s="2"/>
      <c r="C45" s="2">
        <v>18</v>
      </c>
      <c r="D45" s="2">
        <v>1</v>
      </c>
      <c r="E45" s="161">
        <f t="shared" si="0"/>
        <v>18</v>
      </c>
      <c r="F45" s="161"/>
      <c r="G45" s="161"/>
      <c r="H45" s="161">
        <v>1</v>
      </c>
      <c r="I45" s="161"/>
    </row>
    <row r="46" spans="1:9" x14ac:dyDescent="0.25">
      <c r="A46" s="2" t="s">
        <v>649</v>
      </c>
      <c r="B46" s="2"/>
      <c r="C46" s="2">
        <v>16</v>
      </c>
      <c r="D46" s="2">
        <v>1</v>
      </c>
      <c r="E46" s="161">
        <f t="shared" si="0"/>
        <v>16</v>
      </c>
      <c r="F46" s="161"/>
      <c r="G46" s="161"/>
      <c r="H46" s="161"/>
      <c r="I46" s="161">
        <v>1</v>
      </c>
    </row>
    <row r="47" spans="1:9" x14ac:dyDescent="0.25">
      <c r="A47" s="2" t="s">
        <v>650</v>
      </c>
      <c r="B47" s="2">
        <v>14</v>
      </c>
      <c r="C47" s="2"/>
      <c r="D47" s="2">
        <v>1</v>
      </c>
      <c r="E47" s="161">
        <f t="shared" si="0"/>
        <v>14</v>
      </c>
      <c r="F47" s="161"/>
      <c r="G47" s="161"/>
      <c r="H47" s="161">
        <v>1</v>
      </c>
      <c r="I47" s="161"/>
    </row>
    <row r="48" spans="1:9" x14ac:dyDescent="0.25">
      <c r="A48" s="2" t="s">
        <v>651</v>
      </c>
      <c r="B48" s="2">
        <v>16</v>
      </c>
      <c r="C48" s="2"/>
      <c r="D48" s="2">
        <v>1</v>
      </c>
      <c r="E48" s="161">
        <f t="shared" si="0"/>
        <v>16</v>
      </c>
      <c r="F48" s="161">
        <v>1</v>
      </c>
      <c r="G48" s="161"/>
      <c r="H48" s="161"/>
      <c r="I48" s="161"/>
    </row>
    <row r="49" spans="1:9" x14ac:dyDescent="0.25">
      <c r="A49" s="2" t="s">
        <v>633</v>
      </c>
      <c r="B49" s="2">
        <v>18</v>
      </c>
      <c r="C49" s="2"/>
      <c r="D49" s="2">
        <v>3</v>
      </c>
      <c r="E49" s="161">
        <f t="shared" si="0"/>
        <v>54</v>
      </c>
      <c r="F49" s="161"/>
      <c r="G49" s="161"/>
      <c r="H49" s="161">
        <v>1</v>
      </c>
      <c r="I49" s="161"/>
    </row>
    <row r="50" spans="1:9" x14ac:dyDescent="0.25">
      <c r="A50" s="2" t="s">
        <v>634</v>
      </c>
      <c r="B50" s="2"/>
      <c r="C50" s="2">
        <v>9</v>
      </c>
      <c r="D50" s="2">
        <v>2</v>
      </c>
      <c r="E50" s="161">
        <f t="shared" si="0"/>
        <v>18</v>
      </c>
      <c r="F50" s="161"/>
      <c r="G50" s="161"/>
      <c r="H50" s="161">
        <v>1</v>
      </c>
      <c r="I50" s="161"/>
    </row>
    <row r="51" spans="1:9" x14ac:dyDescent="0.25">
      <c r="A51" s="2" t="s">
        <v>635</v>
      </c>
      <c r="B51" s="2"/>
      <c r="C51" s="2">
        <v>12</v>
      </c>
      <c r="D51" s="2">
        <v>2</v>
      </c>
      <c r="E51" s="161">
        <f t="shared" si="0"/>
        <v>24</v>
      </c>
      <c r="F51" s="161"/>
      <c r="G51" s="161"/>
      <c r="H51" s="161"/>
      <c r="I51" s="161">
        <v>1</v>
      </c>
    </row>
    <row r="52" spans="1:9" x14ac:dyDescent="0.25">
      <c r="A52" s="2" t="s">
        <v>636</v>
      </c>
      <c r="B52" s="2"/>
      <c r="C52" s="2">
        <v>14</v>
      </c>
      <c r="D52" s="2">
        <v>1</v>
      </c>
      <c r="E52" s="161">
        <f t="shared" si="0"/>
        <v>14</v>
      </c>
      <c r="F52" s="161"/>
      <c r="G52" s="161"/>
      <c r="H52" s="161"/>
      <c r="I52" s="161">
        <v>1</v>
      </c>
    </row>
    <row r="53" spans="1:9" x14ac:dyDescent="0.25">
      <c r="A53" s="2" t="s">
        <v>637</v>
      </c>
      <c r="B53" s="2">
        <v>12</v>
      </c>
      <c r="C53" s="2"/>
      <c r="D53" s="2">
        <v>4</v>
      </c>
      <c r="E53" s="161">
        <f t="shared" si="0"/>
        <v>48</v>
      </c>
      <c r="F53" s="161"/>
      <c r="G53" s="161"/>
      <c r="H53" s="161">
        <v>1</v>
      </c>
      <c r="I53" s="161"/>
    </row>
    <row r="54" spans="1:9" x14ac:dyDescent="0.25">
      <c r="A54" s="2" t="s">
        <v>638</v>
      </c>
      <c r="B54" s="2"/>
      <c r="C54" s="2">
        <v>22</v>
      </c>
      <c r="D54" s="2">
        <v>1</v>
      </c>
      <c r="E54" s="161">
        <f t="shared" si="0"/>
        <v>22</v>
      </c>
      <c r="F54" s="161"/>
      <c r="G54" s="161"/>
      <c r="H54" s="161">
        <v>1</v>
      </c>
      <c r="I54" s="161"/>
    </row>
    <row r="55" spans="1:9" x14ac:dyDescent="0.25">
      <c r="A55" s="2" t="s">
        <v>639</v>
      </c>
      <c r="B55" s="2"/>
      <c r="C55" s="2">
        <v>22</v>
      </c>
      <c r="D55" s="2">
        <v>1</v>
      </c>
      <c r="E55" s="161">
        <f t="shared" si="0"/>
        <v>22</v>
      </c>
      <c r="F55" s="161"/>
      <c r="G55" s="161"/>
      <c r="H55" s="161">
        <v>1</v>
      </c>
      <c r="I55" s="161"/>
    </row>
    <row r="56" spans="1:9" x14ac:dyDescent="0.25">
      <c r="A56" s="2" t="s">
        <v>640</v>
      </c>
      <c r="B56" s="2"/>
      <c r="C56" s="2">
        <v>7</v>
      </c>
      <c r="D56" s="2">
        <v>1</v>
      </c>
      <c r="E56" s="161">
        <f t="shared" si="0"/>
        <v>7</v>
      </c>
      <c r="F56" s="161"/>
      <c r="G56" s="161"/>
      <c r="H56" s="161"/>
      <c r="I56" s="161">
        <v>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COMPUTO TABLEROS</vt:lpstr>
      <vt:lpstr>COMPUTO CABLE ACOMETIDA Y PAT</vt:lpstr>
      <vt:lpstr>COMPUTO ACU + TUE</vt:lpstr>
      <vt:lpstr>COMPUTO TUG</vt:lpstr>
      <vt:lpstr>COMPUTO IUG</vt:lpstr>
      <vt:lpstr>LUMINARIAS</vt:lpstr>
      <vt:lpstr>LLAVES DE LUZ</vt:lpstr>
      <vt:lpstr>COMPUTO 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2026-06-17T21:24:00Z</dcterms:created>
  <dcterms:modified xsi:type="dcterms:W3CDTF">2026-08-07T17:17:15Z</dcterms:modified>
</cp:coreProperties>
</file>