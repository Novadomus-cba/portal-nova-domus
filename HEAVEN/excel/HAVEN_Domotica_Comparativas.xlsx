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ispositivos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Item1_Base" sheetId="4" state="visible" r:id="rId4"/>
    <sheet xmlns:r="http://schemas.openxmlformats.org/officeDocument/2006/relationships" name="Item2_Upg1_Calypso" sheetId="5" state="visible" r:id="rId5"/>
    <sheet xmlns:r="http://schemas.openxmlformats.org/officeDocument/2006/relationships" name="Item3_Upg1_Cliente" sheetId="6" state="visible" r:id="rId6"/>
    <sheet xmlns:r="http://schemas.openxmlformats.org/officeDocument/2006/relationships" name="Item4_Upg2_Cliente" sheetId="7" state="visible" r:id="rId7"/>
    <sheet xmlns:r="http://schemas.openxmlformats.org/officeDocument/2006/relationships" name="Item5_Upg3_Standalon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%"/>
    <numFmt numFmtId="166" formatCode="\$#,##0"/>
    <numFmt numFmtId="167" formatCode="\$#,##0;[RED]&quot;-$&quot;#,##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41E61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141E61"/>
      <sz val="13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B5453A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C8A96E"/>
      <sz val="11"/>
    </font>
  </fonts>
  <fills count="5">
    <fill>
      <patternFill/>
    </fill>
    <fill>
      <patternFill patternType="gray125"/>
    </fill>
    <fill>
      <patternFill patternType="solid">
        <fgColor rgb="FF141E61"/>
        <bgColor rgb="FF000080"/>
      </patternFill>
    </fill>
    <fill>
      <patternFill patternType="solid">
        <fgColor rgb="FFF2EDE1"/>
        <bgColor rgb="FFFFFFFF"/>
      </patternFill>
    </fill>
    <fill>
      <patternFill patternType="solid">
        <fgColor rgb="FFD9D9D9"/>
        <bgColor rgb="FFF2EDE1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0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166" fontId="0" fillId="3" borderId="1" applyAlignment="1" pivotButton="0" quotePrefix="0" xfId="0">
      <alignment horizontal="general" vertical="top" wrapText="1"/>
    </xf>
    <xf numFmtId="166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0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166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B5453A"/>
      <rgbColor rgb="FFF2EDE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96E"/>
      <rgbColor rgb="FF141E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8.71484375" defaultRowHeight="15" zeroHeight="0" outlineLevelRow="0"/>
  <cols>
    <col width="48" customWidth="1" style="50" min="1" max="1"/>
    <col width="14" customWidth="1" style="50" min="2" max="2"/>
    <col width="60" customWidth="1" style="50" min="3" max="3"/>
    <col width="4" customWidth="1" style="50" min="4" max="4"/>
  </cols>
  <sheetData>
    <row r="1" ht="17.25" customHeight="1" s="51">
      <c r="A1" s="52" t="inlineStr">
        <is>
          <t>HAVEN — Domótica por unidad: parámetros y supuestos</t>
        </is>
      </c>
    </row>
    <row r="3" ht="15" customHeight="1" s="51">
      <c r="A3" s="53" t="inlineStr">
        <is>
          <t>Parámetro</t>
        </is>
      </c>
      <c r="B3" s="53" t="inlineStr">
        <is>
          <t>Valor</t>
        </is>
      </c>
      <c r="C3" s="53" t="inlineStr">
        <is>
          <t>Nota</t>
        </is>
      </c>
      <c r="D3" s="53" t="n"/>
    </row>
    <row r="4" ht="15" customHeight="1" s="51">
      <c r="A4" s="54" t="inlineStr">
        <is>
          <t>TC BNA oficial (ARS/USD)</t>
        </is>
      </c>
      <c r="B4" s="55" t="n">
        <v>1520</v>
      </c>
      <c r="C4" s="54" t="inlineStr">
        <is>
          <t>Referencia interna, no afecta estos cálculos (todo en USD)</t>
        </is>
      </c>
      <c r="D4" s="54" t="n"/>
    </row>
    <row r="5" ht="26.25" customHeight="1" s="51">
      <c r="A5" s="54" t="inlineStr">
        <is>
          <t>Margen — Integración Tecnológica (Base)</t>
        </is>
      </c>
      <c r="B5" s="55" t="n">
        <v>0.27</v>
      </c>
      <c r="C5" s="54" t="inlineStr">
        <is>
          <t>27% fijo sobre costo — excepción de pricing de HAVEN, ya vigente en el proyecto</t>
        </is>
      </c>
      <c r="D5" s="54" t="n"/>
    </row>
    <row r="6" ht="26.25" customHeight="1" s="51">
      <c r="A6" s="54" t="inlineStr">
        <is>
          <t>Margen — Domótica (Upgrades 1 y 2, con Calypso)</t>
        </is>
      </c>
      <c r="B6" s="55" t="n">
        <v>0.2</v>
      </c>
      <c r="C6" s="54" t="inlineStr">
        <is>
          <t>20% sobre costo — pedido explícito de Agustín para incentivar adopción</t>
        </is>
      </c>
      <c r="D6" s="54" t="n"/>
    </row>
    <row r="7" ht="26.25" customHeight="1" s="51">
      <c r="A7" s="54" t="inlineStr">
        <is>
          <t>Margen — B2C remarque</t>
        </is>
      </c>
      <c r="B7" s="55" t="n">
        <v>0.35</v>
      </c>
      <c r="C7" s="54" t="inlineStr">
        <is>
          <t>Remarque estándar Nova Domus cuando no hay precio de referencia</t>
        </is>
      </c>
      <c r="D7" s="54" t="n"/>
    </row>
    <row r="8" ht="15" customHeight="1" s="51">
      <c r="A8" s="54" t="inlineStr">
        <is>
          <t>Margen — B2C descuento</t>
        </is>
      </c>
      <c r="B8" s="55" t="n">
        <v>0.05</v>
      </c>
      <c r="C8" s="54" t="inlineStr">
        <is>
          <t>5% off sobre el precio sugerido (regla B2C estándar)</t>
        </is>
      </c>
      <c r="D8" s="54" t="n"/>
    </row>
    <row r="9" ht="26.25" customHeight="1" s="51">
      <c r="A9" s="54" t="inlineStr">
        <is>
          <t>Margen — B2C efectivo (multiplicador sobre costo c/IVA)</t>
        </is>
      </c>
      <c r="B9" s="54">
        <f>(1+B7)*(1-B8)-1</f>
        <v/>
      </c>
      <c r="C9" s="54" t="inlineStr">
        <is>
          <t>Aplica a Upgrade 3 (standalone, sin Calypso)</t>
        </is>
      </c>
      <c r="D9" s="54" t="n"/>
    </row>
    <row r="10" ht="26.25" customHeight="1" s="51">
      <c r="A10" s="54" t="inlineStr">
        <is>
          <t>Valor de venta promedio por unidad (Torre 1, blended)</t>
        </is>
      </c>
      <c r="B10" s="55" t="n">
        <v>86667</v>
      </c>
      <c r="C10" s="54" t="inlineStr">
        <is>
          <t>Fuente: INCIDENCIA_POR_TORRE_v8_1.md</t>
        </is>
      </c>
      <c r="D10" s="54" t="n"/>
    </row>
    <row r="11" ht="15" customHeight="1" s="51">
      <c r="A11" s="54" t="inlineStr">
        <is>
          <t>Unidades 1 dormitorio (Torre 1)</t>
        </is>
      </c>
      <c r="B11" s="55" t="n">
        <v>73</v>
      </c>
      <c r="C11" s="54" t="n"/>
      <c r="D11" s="54" t="n"/>
    </row>
    <row r="12" ht="15" customHeight="1" s="51">
      <c r="A12" s="54" t="inlineStr">
        <is>
          <t>Unidades 2 dormitorios (Torre 1)</t>
        </is>
      </c>
      <c r="B12" s="55" t="n">
        <v>11</v>
      </c>
      <c r="C12" s="54" t="n"/>
      <c r="D12" s="54" t="n"/>
    </row>
    <row r="13" ht="15" customHeight="1" s="51">
      <c r="A13" s="54" t="inlineStr">
        <is>
          <t>Total unidades Torre 1</t>
        </is>
      </c>
      <c r="B13" s="54">
        <f>B11+B12</f>
        <v/>
      </c>
      <c r="C13" s="54" t="n"/>
      <c r="D13" s="54" t="n"/>
    </row>
    <row r="14" ht="15" customHeight="1" s="51">
      <c r="A14" s="54" t="inlineStr">
        <is>
          <t>AC — unidades de control por depto 1D</t>
        </is>
      </c>
      <c r="B14" s="55" t="n">
        <v>2</v>
      </c>
      <c r="C14" s="54" t="inlineStr">
        <is>
          <t>Sensibo por split — 1 en estar + 1 en dormitorio</t>
        </is>
      </c>
      <c r="D14" s="54" t="n"/>
    </row>
    <row r="15" ht="15" customHeight="1" s="51">
      <c r="A15" s="54" t="inlineStr">
        <is>
          <t>AC — unidades de control por depto 2D</t>
        </is>
      </c>
      <c r="B15" s="55" t="n">
        <v>3</v>
      </c>
      <c r="C15" s="54" t="inlineStr">
        <is>
          <t>Sensibo por split — 1 en estar + 2 en dormitorios</t>
        </is>
      </c>
      <c r="D15" s="54" t="n"/>
    </row>
    <row r="16" ht="15" customHeight="1" s="51">
      <c r="A16" s="54" t="inlineStr">
        <is>
          <t>Cortinas — motores por unidad (todas)</t>
        </is>
      </c>
      <c r="B16" s="55" t="n">
        <v>3</v>
      </c>
      <c r="C16" s="54" t="inlineStr">
        <is>
          <t>Shelly Plus 2PM por motor (control bidireccional)</t>
        </is>
      </c>
      <c r="D16" s="54" t="n"/>
    </row>
    <row r="17" ht="26.25" customHeight="1" s="51">
      <c r="A17" s="54" t="inlineStr">
        <is>
          <t>Iluminación — relés Shelly por unidad (promedio)</t>
        </is>
      </c>
      <c r="B17" s="55" t="n">
        <v>2</v>
      </c>
      <c r="C17" s="54" t="inlineStr">
        <is>
          <t>Real: 179 relés/84u = 2,13 — se usa 2 como aproximación para upgrades por unidad</t>
        </is>
      </c>
      <c r="D17" s="54" t="n"/>
    </row>
    <row r="18" ht="27.75" customHeight="1" s="51">
      <c r="A18" s="56" t="inlineStr">
        <is>
          <t>Margen — Upgrade 3 (definido por Agustín, no B2C estándar)</t>
        </is>
      </c>
      <c r="B18" s="57" t="n">
        <v>0.35</v>
      </c>
      <c r="C18" s="58" t="inlineStr">
        <is>
          <t>Reemplaza el B2C efectivo (28,25%) — decisión explícita para ampliar la brecha vs. Camino A/B</t>
        </is>
      </c>
    </row>
    <row r="19" ht="28.35" customHeight="1" s="51">
      <c r="A19" s="58" t="inlineStr">
        <is>
          <t>Recargo MO retrofit (instalación individual post-obra, Upgrade 3)</t>
        </is>
      </c>
      <c r="B19" s="55" t="n">
        <v>0.4</v>
      </c>
      <c r="C19" s="58" t="inlineStr">
        <is>
          <t>Visita única, coordinación aparte, unidad ya terminada (canaletas a la vista) — vs. instalación en bloque durante la obra</t>
        </is>
      </c>
    </row>
    <row r="20" ht="28.35" customHeight="1" s="51">
      <c r="A20" s="58" t="inlineStr">
        <is>
          <t>Visita técnica inicial (Upgrade 3, fee fijo por unidad)</t>
        </is>
      </c>
      <c r="B20" s="55" t="n">
        <v>180</v>
      </c>
      <c r="C20" s="58" t="inlineStr">
        <is>
          <t>No existe en instalación en bloque (se amortiza entre 84 unidades); en un retrofit individual es un costo real aparte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4" customWidth="1" style="50" min="1" max="1"/>
    <col width="46" customWidth="1" style="50" min="2" max="2"/>
    <col width="26" customWidth="1" style="50" min="3" max="3"/>
    <col width="16" customWidth="1" style="50" min="4" max="4"/>
    <col width="8" customWidth="1" style="50" min="5" max="5"/>
    <col width="20" customWidth="1" style="50" min="6" max="6"/>
    <col width="16" customWidth="1" style="50" min="7" max="7"/>
    <col width="34" customWidth="1" style="50" min="8" max="8"/>
  </cols>
  <sheetData>
    <row r="1" ht="15.75" customHeight="1" s="51">
      <c r="A1" s="59" t="inlineStr">
        <is>
          <t>Catálogo de dispositivos considerados (precio neto real de inventario Nova Domus)</t>
        </is>
      </c>
    </row>
    <row r="3" ht="26.25" customHeight="1" s="51">
      <c r="A3" s="60" t="inlineStr">
        <is>
          <t>#</t>
        </is>
      </c>
      <c r="B3" s="60" t="inlineStr">
        <is>
          <t>Dispositivo</t>
        </is>
      </c>
      <c r="C3" s="60" t="inlineStr">
        <is>
          <t>Marca/SKU</t>
        </is>
      </c>
      <c r="D3" s="60" t="inlineStr">
        <is>
          <t>Precio sin IVA (USD)</t>
        </is>
      </c>
      <c r="E3" s="60" t="inlineStr">
        <is>
          <t>IVA %</t>
        </is>
      </c>
      <c r="F3" s="60" t="inlineStr">
        <is>
          <t>Tarifa MO (USD, tarifario ND)</t>
        </is>
      </c>
      <c r="G3" s="60" t="inlineStr">
        <is>
          <t>sku_mo</t>
        </is>
      </c>
      <c r="H3" s="60" t="inlineStr">
        <is>
          <t>Uso en este esquema</t>
        </is>
      </c>
    </row>
    <row r="4" ht="26.25" customHeight="1" s="51">
      <c r="A4" s="54" t="n">
        <v>1</v>
      </c>
      <c r="B4" s="54" t="inlineStr">
        <is>
          <t>Cerradura digital Yale KIT YMC420 + HUB</t>
        </is>
      </c>
      <c r="C4" s="54" t="inlineStr">
        <is>
          <t>YALE / 16784</t>
        </is>
      </c>
      <c r="D4" s="61" t="n">
        <v>232.24</v>
      </c>
      <c r="E4" s="62" t="n">
        <v>0.21</v>
      </c>
      <c r="F4" s="61" t="n">
        <v>100</v>
      </c>
      <c r="G4" s="54" t="inlineStr">
        <is>
          <t>MO-ACC-PORT*</t>
        </is>
      </c>
      <c r="H4" s="54" t="inlineStr">
        <is>
          <t>Base — todas las unidades</t>
        </is>
      </c>
    </row>
    <row r="5" ht="26.25" customHeight="1" s="51">
      <c r="A5" s="54" t="n">
        <v>2</v>
      </c>
      <c r="B5" s="54" t="inlineStr">
        <is>
          <t>Pantalla básica Hikvision DS-KH6110-WE1 (4,3", PoE, no Android)</t>
        </is>
      </c>
      <c r="C5" s="54" t="inlineStr">
        <is>
          <t>HIKVISION / DS-KH6110-WE1</t>
        </is>
      </c>
      <c r="D5" s="61" t="n">
        <v>127</v>
      </c>
      <c r="E5" s="62" t="n">
        <v>0.21</v>
      </c>
      <c r="F5" s="61" t="n">
        <v>117.31</v>
      </c>
      <c r="G5" s="54" t="inlineStr">
        <is>
          <t>MO-ACC-PORT</t>
        </is>
      </c>
      <c r="H5" s="54" t="inlineStr">
        <is>
          <t>Base — todas las unidades</t>
        </is>
      </c>
    </row>
    <row r="6" ht="26.25" customHeight="1" s="51">
      <c r="A6" s="54" t="n">
        <v>3</v>
      </c>
      <c r="B6" s="54" t="inlineStr">
        <is>
          <t>Pantalla Android Hikvision DS-KH9310-WTE1(B) (7", PoE, Hik-Connect)</t>
        </is>
      </c>
      <c r="C6" s="54" t="inlineStr">
        <is>
          <t>HIKVISION / DS-KH9310-WTE1(B)</t>
        </is>
      </c>
      <c r="D6" s="61" t="n">
        <v>394</v>
      </c>
      <c r="E6" s="62" t="n">
        <v>0.21</v>
      </c>
      <c r="F6" s="61" t="n">
        <v>117.31</v>
      </c>
      <c r="G6" s="54" t="inlineStr">
        <is>
          <t>MO-ACC-PORT</t>
        </is>
      </c>
      <c r="H6" s="54" t="inlineStr">
        <is>
          <t>Upgrade 1 — reemplaza a la básica</t>
        </is>
      </c>
    </row>
    <row r="7" ht="26.25" customHeight="1" s="51">
      <c r="A7" s="54" t="n">
        <v>4</v>
      </c>
      <c r="B7" s="54" t="inlineStr">
        <is>
          <t>Relé Shelly 1PM Mini Gen4 (iluminación)</t>
        </is>
      </c>
      <c r="C7" s="54" t="inlineStr">
        <is>
          <t>SHELLY / 387</t>
        </is>
      </c>
      <c r="D7" s="61" t="n">
        <v>23.36</v>
      </c>
      <c r="E7" s="62" t="n">
        <v>0.21</v>
      </c>
      <c r="F7" s="61" t="n">
        <v>49.79</v>
      </c>
      <c r="G7" s="54" t="inlineStr">
        <is>
          <t>MO-DOM-MULTI*</t>
        </is>
      </c>
      <c r="H7" s="54" t="inlineStr">
        <is>
          <t>Upgrade 1 — iluminación</t>
        </is>
      </c>
    </row>
    <row r="8" ht="15" customHeight="1" s="51">
      <c r="A8" s="54" t="n">
        <v>5</v>
      </c>
      <c r="B8" s="54" t="inlineStr">
        <is>
          <t>Dimmer Shelly Gen4</t>
        </is>
      </c>
      <c r="C8" s="54" t="inlineStr">
        <is>
          <t>SHELLY / 358</t>
        </is>
      </c>
      <c r="D8" s="61" t="n">
        <v>54</v>
      </c>
      <c r="E8" s="62" t="n">
        <v>0.21</v>
      </c>
      <c r="F8" s="61" t="n">
        <v>59.74</v>
      </c>
      <c r="G8" s="54" t="inlineStr">
        <is>
          <t>MO-DOM-DIM</t>
        </is>
      </c>
      <c r="H8" s="54" t="inlineStr">
        <is>
          <t>Upgrade 2 — control de intensidad</t>
        </is>
      </c>
    </row>
    <row r="9" ht="26.25" customHeight="1" s="51">
      <c r="A9" s="54" t="n">
        <v>6</v>
      </c>
      <c r="B9" s="54" t="inlineStr">
        <is>
          <t>Sensor apertura Shelly BLU Door/Window ZB (Homiq)</t>
        </is>
      </c>
      <c r="C9" s="54" t="inlineStr">
        <is>
          <t>SHELLY / 659</t>
        </is>
      </c>
      <c r="D9" s="61" t="n">
        <v>24.9</v>
      </c>
      <c r="E9" s="62" t="n">
        <v>0.21</v>
      </c>
      <c r="F9" s="61" t="n">
        <v>27.82</v>
      </c>
      <c r="G9" s="54" t="inlineStr">
        <is>
          <t>MO-DOM-MULTI*</t>
        </is>
      </c>
      <c r="H9" s="54" t="inlineStr">
        <is>
          <t>Upgrade 2 — sensor de apertura</t>
        </is>
      </c>
    </row>
    <row r="10" ht="26.25" customHeight="1" s="51">
      <c r="A10" s="54" t="n">
        <v>7</v>
      </c>
      <c r="B10" s="54" t="inlineStr">
        <is>
          <t>Sensibo Air Smart AC Controller B2B (control de aire acondicionado)</t>
        </is>
      </c>
      <c r="C10" s="54" t="inlineStr">
        <is>
          <t>SENSIBO / 325</t>
        </is>
      </c>
      <c r="D10" s="61" t="n">
        <v>174.74</v>
      </c>
      <c r="E10" s="62" t="n">
        <v>0.21</v>
      </c>
      <c r="F10" s="61" t="n">
        <v>30.1</v>
      </c>
      <c r="G10" s="54" t="inlineStr">
        <is>
          <t>MO-CLI-SPLIT</t>
        </is>
      </c>
      <c r="H10" s="54" t="inlineStr">
        <is>
          <t>Upgrade 2 — control de AC, x2 (1D) o x3 (2D)</t>
        </is>
      </c>
    </row>
    <row r="11" ht="26.25" customHeight="1" s="51">
      <c r="A11" s="54" t="n">
        <v>8</v>
      </c>
      <c r="B11" s="54" t="inlineStr">
        <is>
          <t>Shelly Plus 2PM Gen4 (control de motor de cortina)</t>
        </is>
      </c>
      <c r="C11" s="54" t="inlineStr">
        <is>
          <t>SHELLY / 357</t>
        </is>
      </c>
      <c r="D11" s="61" t="n">
        <v>33.9</v>
      </c>
      <c r="E11" s="62" t="n">
        <v>0.21</v>
      </c>
      <c r="F11" s="61" t="n">
        <v>69.7</v>
      </c>
      <c r="G11" s="54" t="inlineStr">
        <is>
          <t>MO-DOM-MULTI</t>
        </is>
      </c>
      <c r="H11" s="54" t="inlineStr">
        <is>
          <t>Upgrade 2 — cortinas, x3 por unidad</t>
        </is>
      </c>
    </row>
    <row r="12" ht="26.25" customHeight="1" s="51">
      <c r="A12" s="54" t="n">
        <v>9</v>
      </c>
      <c r="B12" s="54" t="inlineStr">
        <is>
          <t>Home Assistant Green (hub standalone)</t>
        </is>
      </c>
      <c r="C12" s="54" t="inlineStr">
        <is>
          <t>HOME ASSISTANT / 209</t>
        </is>
      </c>
      <c r="D12" s="61" t="n">
        <v>345</v>
      </c>
      <c r="E12" s="62" t="n">
        <v>0.21</v>
      </c>
      <c r="F12" s="61" t="n">
        <v>95.22</v>
      </c>
      <c r="G12" s="54" t="inlineStr">
        <is>
          <t>MO-INF-RACK*</t>
        </is>
      </c>
      <c r="H12" s="54" t="inlineStr">
        <is>
          <t>Upgrade 3 — infraestructura propia del cliente</t>
        </is>
      </c>
    </row>
    <row r="13" ht="26.25" customHeight="1" s="51">
      <c r="A13" s="54" t="n">
        <v>10</v>
      </c>
      <c r="B13" s="54" t="inlineStr">
        <is>
          <t>Shelly Wall Display (7", chica — no XL)</t>
        </is>
      </c>
      <c r="C13" s="54" t="inlineStr">
        <is>
          <t>SHELLY / 371</t>
        </is>
      </c>
      <c r="D13" s="61" t="n">
        <v>204.37</v>
      </c>
      <c r="E13" s="62" t="n">
        <v>0.21</v>
      </c>
      <c r="F13" s="61" t="n">
        <v>85</v>
      </c>
      <c r="G13" s="54" t="inlineStr">
        <is>
          <t>MO-DOM-CORE</t>
        </is>
      </c>
      <c r="H13" s="54" t="inlineStr">
        <is>
          <t>Upgrade 3 — infraestructura propia del cliente</t>
        </is>
      </c>
    </row>
    <row r="14" ht="26.25" customHeight="1" s="51">
      <c r="A14" s="54" t="n">
        <v>11</v>
      </c>
      <c r="B14" s="54" t="inlineStr">
        <is>
          <t>Router TP-Link Archer AX55 (WiFi 6, dual band)</t>
        </is>
      </c>
      <c r="C14" s="54" t="inlineStr">
        <is>
          <t>TP-Link / ARCHER AX55</t>
        </is>
      </c>
      <c r="D14" s="61" t="n">
        <v>76.34999999999999</v>
      </c>
      <c r="E14" s="62" t="n">
        <v>0.105</v>
      </c>
      <c r="F14" s="61" t="n">
        <v>69.7</v>
      </c>
      <c r="G14" s="54" t="inlineStr">
        <is>
          <t>MO-RED-SW*</t>
        </is>
      </c>
      <c r="H14" s="54" t="inlineStr">
        <is>
          <t>Upgrade 3 — infraestructura propia del cliente</t>
        </is>
      </c>
    </row>
    <row r="17" ht="15" customHeight="1" s="51">
      <c r="A17" s="63" t="inlineStr">
        <is>
          <t>* Tarifa MO estimada por analogía con la categoría más cercana del tarifario ND — no tiene sku_mo propio cargado todavía, revisar antes de cotizar en firme.</t>
        </is>
      </c>
    </row>
  </sheetData>
  <mergeCells count="2">
    <mergeCell ref="A1:H1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50" min="1" max="1"/>
    <col width="50" customWidth="1" style="50" min="2" max="2"/>
    <col width="15" customWidth="1" style="50" min="3" max="4"/>
    <col width="42" customWidth="1" style="50" min="5" max="5"/>
  </cols>
  <sheetData>
    <row r="1" ht="17.25" customHeight="1" s="51">
      <c r="A1" s="52" t="inlineStr">
        <is>
          <t>COMPARATIVA — progresión acumulativa por camino, USD por unidad</t>
        </is>
      </c>
    </row>
    <row r="2" ht="15" customHeight="1" s="51">
      <c r="A2" s="63" t="inlineStr">
        <is>
          <t>Cada fila es acumulativa (incluye todo lo de arriba). Fórmulas enlazadas — cambiá un margen en Parametros y recalcula todo.</t>
        </is>
      </c>
    </row>
    <row r="4" ht="15" customHeight="1" s="51">
      <c r="A4" s="64" t="inlineStr">
        <is>
          <t>Camino</t>
        </is>
      </c>
      <c r="B4" s="64" t="inlineStr">
        <is>
          <t>Qué incluye (acumulado)</t>
        </is>
      </c>
      <c r="C4" s="64" t="inlineStr">
        <is>
          <t>1 Dormitorio</t>
        </is>
      </c>
      <c r="D4" s="64" t="inlineStr">
        <is>
          <t>2 Dormitorios</t>
        </is>
      </c>
      <c r="E4" s="64" t="inlineStr">
        <is>
          <t>Quién paga / decide</t>
        </is>
      </c>
    </row>
    <row r="5" ht="27.75" customHeight="1" s="51">
      <c r="A5" s="65" t="inlineStr">
        <is>
          <t>Base</t>
        </is>
      </c>
      <c r="B5" s="58" t="inlineStr">
        <is>
          <t>Cerradura + pantalla básica (mandatorio, Integración Tecnológica)</t>
        </is>
      </c>
      <c r="C5" s="66">
        <f>Item1_Base!K9</f>
        <v/>
      </c>
      <c r="D5" s="66">
        <f>Item1_Base!K9</f>
        <v/>
      </c>
      <c r="E5" s="58" t="inlineStr">
        <is>
          <t>Calypso — siempre</t>
        </is>
      </c>
    </row>
    <row r="6" ht="27.75" customHeight="1" s="51">
      <c r="A6" s="65" t="inlineStr">
        <is>
          <t>Upgrade 1A</t>
        </is>
      </c>
      <c r="B6" s="58" t="inlineStr">
        <is>
          <t>Base + swap de pantalla a Android + iluminación (Calypso, bulk x84)</t>
        </is>
      </c>
      <c r="C6" s="66">
        <f>C5+Item2_Upg1_Calypso!K10</f>
        <v/>
      </c>
      <c r="D6" s="66">
        <f>D5+Item2_Upg1_Calypso!K10</f>
        <v/>
      </c>
      <c r="E6" s="58" t="inlineStr">
        <is>
          <t>Calypso decide para las 84 unidades</t>
        </is>
      </c>
    </row>
    <row r="7" ht="27.75" customHeight="1" s="51">
      <c r="A7" s="67" t="inlineStr">
        <is>
          <t>Upgrade 2A</t>
        </is>
      </c>
      <c r="B7" s="68" t="inlineStr">
        <is>
          <t>Upgrade 1A + dimmer/sensor/AC/cortinas (cliente, sobre lo que ya puso Calypso)</t>
        </is>
      </c>
      <c r="C7" s="69">
        <f>C6+Item4_Upg2_Cliente!K10</f>
        <v/>
      </c>
      <c r="D7" s="69">
        <f>D6+Item4_Upg2_Cliente!K20</f>
        <v/>
      </c>
      <c r="E7" s="68" t="inlineStr">
        <is>
          <t>Cliente decide, ya con Upgrade1A puesto</t>
        </is>
      </c>
    </row>
    <row r="8" ht="27.75" customHeight="1" s="51">
      <c r="A8" s="65" t="inlineStr">
        <is>
          <t>Upgrade 1B</t>
        </is>
      </c>
      <c r="B8" s="58" t="inlineStr">
        <is>
          <t>Base + pantalla Android completa + iluminación (cliente, individual, sin resta)</t>
        </is>
      </c>
      <c r="C8" s="66">
        <f>C5+Item3_Upg1_Cliente!K7</f>
        <v/>
      </c>
      <c r="D8" s="66">
        <f>D5+Item3_Upg1_Cliente!K7</f>
        <v/>
      </c>
      <c r="E8" s="58" t="inlineStr">
        <is>
          <t>Cliente decide, Calypso no hizo Upgrade1</t>
        </is>
      </c>
    </row>
    <row r="9" ht="27.75" customHeight="1" s="51">
      <c r="A9" s="67" t="inlineStr">
        <is>
          <t>Upgrade 2B</t>
        </is>
      </c>
      <c r="B9" s="68" t="inlineStr">
        <is>
          <t>Upgrade 1B + dimmer/sensor/AC/cortinas (mismo valor estándar que 2A)</t>
        </is>
      </c>
      <c r="C9" s="69">
        <f>C8+Item4_Upg2_Cliente!K10</f>
        <v/>
      </c>
      <c r="D9" s="69">
        <f>D8+Item4_Upg2_Cliente!K20</f>
        <v/>
      </c>
      <c r="E9" s="68" t="inlineStr">
        <is>
          <t>Cliente decide, arma todo por su cuenta</t>
        </is>
      </c>
    </row>
    <row r="10" ht="27.75" customHeight="1" s="51">
      <c r="A10" s="67" t="inlineStr">
        <is>
          <t>Camino B (sin desperdicio)</t>
        </is>
      </c>
      <c r="B10" s="68" t="inlineStr">
        <is>
          <t>Si Calypso hubiera puesto directo la pantalla Android (sin pasar por la básica) — sin desperdiciar esa compra</t>
        </is>
      </c>
      <c r="C10" s="69">
        <f>Item1_Base!K5/84+Item3_Upg1_Cliente!K7+Item4_Upg2_Cliente!K10</f>
        <v/>
      </c>
      <c r="D10" s="69">
        <f>Item1_Base!K5/84+Item3_Upg1_Cliente!K7+Item4_Upg2_Cliente!K20</f>
        <v/>
      </c>
      <c r="E10" s="68" t="inlineStr">
        <is>
          <t>Hipotético — no es el camino real (Calypso ya decidió básica para todos), sirve de referencia</t>
        </is>
      </c>
    </row>
    <row r="11" ht="28.35" customHeight="1" s="51">
      <c r="A11" s="67" t="inlineStr">
        <is>
          <t>Upgrade 3</t>
        </is>
      </c>
      <c r="B11" s="68" t="inlineStr">
        <is>
          <t>Standalone completo: HA Green + Wall Display + Router + todo el kit (margen 35%)</t>
        </is>
      </c>
      <c r="C11" s="69">
        <f>Item5_Upg3_Standalone!K16</f>
        <v/>
      </c>
      <c r="D11" s="69">
        <f>Item5_Upg3_Standalone!K32</f>
        <v/>
      </c>
      <c r="E11" s="68" t="inlineStr">
        <is>
          <t>Cliente paga todo, sin Integración Tecnológica de Calypso</t>
        </is>
      </c>
    </row>
    <row r="12" ht="15" customHeight="1" s="51"/>
    <row r="13" ht="15" customHeight="1" s="51">
      <c r="A13" s="70" t="inlineStr">
        <is>
          <t>Diferencia Upgrade 3 vs. Upgrade 2A</t>
        </is>
      </c>
      <c r="C13" s="71">
        <f>C11-C7</f>
        <v/>
      </c>
      <c r="D13" s="71">
        <f>D11-D7</f>
        <v/>
      </c>
    </row>
    <row r="14" ht="15" customHeight="1" s="51">
      <c r="A14" s="70" t="inlineStr">
        <is>
          <t>Diferencia Upgrade 3 vs. Upgrade 2B</t>
        </is>
      </c>
      <c r="C14" s="71">
        <f>C11-C9</f>
        <v/>
      </c>
      <c r="D14" s="71">
        <f>D11-D9</f>
        <v/>
      </c>
    </row>
    <row r="15" ht="15" customHeight="1" s="51">
      <c r="A15" s="72" t="inlineStr">
        <is>
          <t>% Upgrade 3 sobre Upgrade 2B</t>
        </is>
      </c>
      <c r="C15" s="73">
        <f>C11/C9-1</f>
        <v/>
      </c>
      <c r="D15" s="73">
        <f>D11/D9-1</f>
        <v/>
      </c>
    </row>
    <row r="17" ht="15" customHeight="1" s="51">
      <c r="A17" s="50" t="n"/>
    </row>
    <row r="18" ht="85.05" customHeight="1" s="51">
      <c r="A18" s="74" t="inlineStr">
        <is>
          <t>Nota: filas resaltadas (Upgrade 2A, 2B, 3) son los 3 puntos de comparación finales relevantes para la decisión de Calypso/cliente.</t>
        </is>
      </c>
    </row>
  </sheetData>
  <mergeCells count="3">
    <mergeCell ref="A2:E2"/>
    <mergeCell ref="A1:E1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14" activeCellId="0" sqref="N14"/>
    </sheetView>
  </sheetViews>
  <sheetFormatPr baseColWidth="8" defaultColWidth="8.71484375" defaultRowHeight="15" zeroHeight="0" outlineLevelRow="0"/>
  <cols>
    <col width="44" customWidth="1" style="50" min="1" max="1"/>
    <col width="7" customWidth="1" style="50" min="2" max="2"/>
    <col width="12" customWidth="1" style="50" min="3" max="3"/>
    <col width="7" customWidth="1" style="50" min="4" max="4"/>
    <col width="15" customWidth="1" style="50" min="5" max="5"/>
    <col width="9" customWidth="1" style="50" min="6" max="6"/>
    <col width="15" customWidth="1" style="50" min="7" max="8"/>
    <col width="10" customWidth="1" style="50" min="9" max="9"/>
    <col width="12" customWidth="1" style="50" min="10" max="10"/>
    <col width="13" customWidth="1" style="50" min="11" max="11"/>
    <col width="9.140000000000001" customWidth="1" style="50" min="12" max="12"/>
  </cols>
  <sheetData>
    <row r="1" ht="15.75" customHeight="1" s="51">
      <c r="A1" s="59" t="inlineStr">
        <is>
          <t>ITEM 1 — BASE: Integración Tecnológica + Inmótica (Calypso, mandatorio, x84 unidades)</t>
        </is>
      </c>
    </row>
    <row r="2" ht="15" customHeight="1" s="51">
      <c r="A2" s="63" t="inlineStr">
        <is>
          <t>Margen aplicado: Parametros!$B$5 (27% Integración Tecnológica)</t>
        </is>
      </c>
    </row>
    <row r="4" ht="26.25" customHeight="1" s="51">
      <c r="A4" s="60" t="inlineStr">
        <is>
          <t>Dispositivo</t>
        </is>
      </c>
      <c r="B4" s="60" t="inlineStr">
        <is>
          <t>Cant.</t>
        </is>
      </c>
      <c r="C4" s="60" t="inlineStr">
        <is>
          <t>Precio s/IVA</t>
        </is>
      </c>
      <c r="D4" s="60" t="inlineStr">
        <is>
          <t>IVA%</t>
        </is>
      </c>
      <c r="E4" s="60" t="inlineStr">
        <is>
          <t>Precio c/IVA (costo)</t>
        </is>
      </c>
      <c r="F4" s="60" t="inlineStr">
        <is>
          <t>Margen</t>
        </is>
      </c>
      <c r="G4" s="60" t="inlineStr">
        <is>
          <t>Precio venta unit.</t>
        </is>
      </c>
      <c r="H4" s="60" t="inlineStr">
        <is>
          <t>Subtotal equipo</t>
        </is>
      </c>
      <c r="I4" s="60" t="inlineStr">
        <is>
          <t>MO unit.</t>
        </is>
      </c>
      <c r="J4" s="60" t="inlineStr">
        <is>
          <t>Subtotal MO</t>
        </is>
      </c>
      <c r="K4" s="60" t="inlineStr">
        <is>
          <t>TOTAL línea</t>
        </is>
      </c>
    </row>
    <row r="5" ht="15" customHeight="1" s="51">
      <c r="A5" s="56" t="inlineStr">
        <is>
          <t>Cerradura Yale KIT YMC420</t>
        </is>
      </c>
      <c r="B5" s="56" t="n">
        <v>84</v>
      </c>
      <c r="C5" s="75">
        <f>Dispositivos!D4</f>
        <v/>
      </c>
      <c r="D5" s="76">
        <f>Dispositivos!E4</f>
        <v/>
      </c>
      <c r="E5" s="77">
        <f>C5*(1+D5)</f>
        <v/>
      </c>
      <c r="F5" s="78">
        <f>Parametros!$B$5</f>
        <v/>
      </c>
      <c r="G5" s="77">
        <f>E5*(1+F5)</f>
        <v/>
      </c>
      <c r="H5" s="77">
        <f>G5*B5</f>
        <v/>
      </c>
      <c r="I5" s="75">
        <f>Dispositivos!F4</f>
        <v/>
      </c>
      <c r="J5" s="77">
        <f>I5*B5</f>
        <v/>
      </c>
      <c r="K5" s="77">
        <f>H5+J5</f>
        <v/>
      </c>
    </row>
    <row r="6" ht="15" customHeight="1" s="51">
      <c r="A6" s="56" t="inlineStr">
        <is>
          <t>Pantalla básica DS-KH6110-WE1</t>
        </is>
      </c>
      <c r="B6" s="56" t="n">
        <v>84</v>
      </c>
      <c r="C6" s="75">
        <f>Dispositivos!D5</f>
        <v/>
      </c>
      <c r="D6" s="76">
        <f>Dispositivos!E5</f>
        <v/>
      </c>
      <c r="E6" s="77">
        <f>C6*(1+D6)</f>
        <v/>
      </c>
      <c r="F6" s="78">
        <f>Parametros!$B$5</f>
        <v/>
      </c>
      <c r="G6" s="77">
        <f>E6*(1+F6)</f>
        <v/>
      </c>
      <c r="H6" s="77">
        <f>G6*B6</f>
        <v/>
      </c>
      <c r="I6" s="75">
        <f>Dispositivos!F5</f>
        <v/>
      </c>
      <c r="J6" s="77">
        <f>I6*B6</f>
        <v/>
      </c>
      <c r="K6" s="77">
        <f>H6+J6</f>
        <v/>
      </c>
    </row>
    <row r="7" ht="15" customHeight="1" s="51">
      <c r="A7" s="79" t="inlineStr">
        <is>
          <t>TOTAL Item 1 (84 unidades)</t>
        </is>
      </c>
      <c r="B7" s="80" t="n"/>
      <c r="C7" s="80" t="n"/>
      <c r="D7" s="80" t="n"/>
      <c r="E7" s="80" t="n"/>
      <c r="F7" s="80" t="n"/>
      <c r="G7" s="80" t="n"/>
      <c r="H7" s="81">
        <f>SUM(H5:H6)</f>
        <v/>
      </c>
      <c r="I7" s="80" t="n"/>
      <c r="J7" s="81">
        <f>SUM(J5:J6)</f>
        <v/>
      </c>
      <c r="K7" s="81">
        <f>H7+J7</f>
        <v/>
      </c>
    </row>
    <row r="9" ht="15" customHeight="1" s="51">
      <c r="A9" s="50" t="inlineStr">
        <is>
          <t>Por unidad:</t>
        </is>
      </c>
      <c r="H9" s="82">
        <f>H7/84</f>
        <v/>
      </c>
      <c r="J9" s="82">
        <f>J7/84</f>
        <v/>
      </c>
      <c r="K9" s="82">
        <f>K7/84</f>
        <v/>
      </c>
      <c r="L9" s="82">
        <f>+K9+Item2_Upg1_Calypso!K10</f>
        <v/>
      </c>
    </row>
    <row r="11" ht="15" customHeight="1" s="51">
      <c r="A11" s="50" t="inlineStr">
        <is>
          <t>Incidencia por unidad sobre valor de venta:</t>
        </is>
      </c>
      <c r="K11" s="83">
        <f>K9/Parametros!$B$10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L8" activeCellId="0" sqref="L8"/>
    </sheetView>
  </sheetViews>
  <sheetFormatPr baseColWidth="8" defaultColWidth="8.71484375" defaultRowHeight="15" zeroHeight="0" outlineLevelRow="0"/>
  <cols>
    <col width="44" customWidth="1" style="50" min="1" max="1"/>
    <col width="7" customWidth="1" style="50" min="2" max="2"/>
    <col width="12" customWidth="1" style="50" min="3" max="3"/>
    <col width="7" customWidth="1" style="50" min="4" max="4"/>
    <col width="15" customWidth="1" style="50" min="5" max="5"/>
    <col width="9" customWidth="1" style="50" min="6" max="6"/>
    <col width="15" customWidth="1" style="50" min="7" max="8"/>
    <col width="10" customWidth="1" style="50" min="9" max="9"/>
    <col width="12" customWidth="1" style="50" min="10" max="10"/>
    <col width="13" customWidth="1" style="50" min="11" max="11"/>
  </cols>
  <sheetData>
    <row r="1" ht="15.75" customHeight="1" s="51">
      <c r="A1" s="59" t="inlineStr">
        <is>
          <t>ITEM 2 — UPGRADE 1 PARA CALYPSO: swap de pantalla + iluminación (bulk, x84 unidades)</t>
        </is>
      </c>
    </row>
    <row r="2" ht="15" customHeight="1" s="51">
      <c r="A2" s="63" t="inlineStr">
        <is>
          <t>Margen aplicado: Parametros!$B$6 (20% Domótica)</t>
        </is>
      </c>
    </row>
    <row r="4" ht="26.25" customHeight="1" s="51">
      <c r="A4" s="60" t="inlineStr">
        <is>
          <t>Dispositivo</t>
        </is>
      </c>
      <c r="B4" s="60" t="inlineStr">
        <is>
          <t>Cant.</t>
        </is>
      </c>
      <c r="C4" s="60" t="inlineStr">
        <is>
          <t>Precio s/IVA</t>
        </is>
      </c>
      <c r="D4" s="60" t="inlineStr">
        <is>
          <t>IVA%</t>
        </is>
      </c>
      <c r="E4" s="60" t="inlineStr">
        <is>
          <t>Precio c/IVA (costo)</t>
        </is>
      </c>
      <c r="F4" s="60" t="inlineStr">
        <is>
          <t>Margen</t>
        </is>
      </c>
      <c r="G4" s="60" t="inlineStr">
        <is>
          <t>Precio venta unit.</t>
        </is>
      </c>
      <c r="H4" s="60" t="inlineStr">
        <is>
          <t>Subtotal equipo</t>
        </is>
      </c>
      <c r="I4" s="60" t="inlineStr">
        <is>
          <t>MO unit.</t>
        </is>
      </c>
      <c r="J4" s="60" t="inlineStr">
        <is>
          <t>Subtotal MO</t>
        </is>
      </c>
      <c r="K4" s="60" t="inlineStr">
        <is>
          <t>TOTAL línea</t>
        </is>
      </c>
    </row>
    <row r="5" ht="15" customHeight="1" s="51">
      <c r="A5" s="56" t="inlineStr">
        <is>
          <t>(-) Pantalla básica DS-KH6110-WE1 [se retira]</t>
        </is>
      </c>
      <c r="B5" s="56" t="n">
        <v>84</v>
      </c>
      <c r="C5" s="75">
        <f>Dispositivos!D5</f>
        <v/>
      </c>
      <c r="D5" s="76">
        <f>Dispositivos!E5</f>
        <v/>
      </c>
      <c r="E5" s="77">
        <f>C5*(1+D5)</f>
        <v/>
      </c>
      <c r="F5" s="78">
        <f>Parametros!$B$6</f>
        <v/>
      </c>
      <c r="G5" s="77">
        <f>E5*(1+F5)</f>
        <v/>
      </c>
      <c r="H5" s="77">
        <f>-G5*B5</f>
        <v/>
      </c>
      <c r="I5" s="75">
        <f>Dispositivos!F5</f>
        <v/>
      </c>
      <c r="J5" s="77">
        <f>-I5*B5</f>
        <v/>
      </c>
      <c r="K5" s="77">
        <f>H5+J5</f>
        <v/>
      </c>
    </row>
    <row r="6" ht="15" customHeight="1" s="51">
      <c r="A6" s="56" t="inlineStr">
        <is>
          <t>(+) Pantalla Android DS-KH9310-WTE1(B) [reemplaza]</t>
        </is>
      </c>
      <c r="B6" s="56" t="n">
        <v>84</v>
      </c>
      <c r="C6" s="75">
        <f>Dispositivos!D6</f>
        <v/>
      </c>
      <c r="D6" s="76">
        <f>Dispositivos!E6</f>
        <v/>
      </c>
      <c r="E6" s="77">
        <f>C6*(1+D6)</f>
        <v/>
      </c>
      <c r="F6" s="78">
        <f>Parametros!$B$6</f>
        <v/>
      </c>
      <c r="G6" s="77">
        <f>E6*(1+F6)</f>
        <v/>
      </c>
      <c r="H6" s="77">
        <f>G6*B6</f>
        <v/>
      </c>
      <c r="I6" s="75">
        <f>Dispositivos!F6</f>
        <v/>
      </c>
      <c r="J6" s="77">
        <f>I6*B6</f>
        <v/>
      </c>
      <c r="K6" s="77">
        <f>H6+J6</f>
        <v/>
      </c>
    </row>
    <row r="7" ht="15" customHeight="1" s="51">
      <c r="A7" s="56" t="inlineStr">
        <is>
          <t>(+) Relé Shelly 1PM Mini Gen4 (iluminación, ~2,13/u)</t>
        </is>
      </c>
      <c r="B7" s="56" t="n">
        <v>179</v>
      </c>
      <c r="C7" s="75">
        <f>Dispositivos!D7</f>
        <v/>
      </c>
      <c r="D7" s="76">
        <f>Dispositivos!E7</f>
        <v/>
      </c>
      <c r="E7" s="77">
        <f>C7*(1+D7)</f>
        <v/>
      </c>
      <c r="F7" s="78">
        <f>Parametros!$B$6</f>
        <v/>
      </c>
      <c r="G7" s="77">
        <f>E7*(1+F7)</f>
        <v/>
      </c>
      <c r="H7" s="77">
        <f>G7*B7</f>
        <v/>
      </c>
      <c r="I7" s="75">
        <f>Dispositivos!F7</f>
        <v/>
      </c>
      <c r="J7" s="77">
        <f>I7*B7</f>
        <v/>
      </c>
      <c r="K7" s="77">
        <f>H7+J7</f>
        <v/>
      </c>
    </row>
    <row r="8" ht="15" customHeight="1" s="51">
      <c r="A8" s="79" t="inlineStr">
        <is>
          <t>TOTAL Item 2 (84 unidades)</t>
        </is>
      </c>
      <c r="B8" s="80" t="n"/>
      <c r="C8" s="80" t="n"/>
      <c r="D8" s="80" t="n"/>
      <c r="E8" s="80" t="n"/>
      <c r="F8" s="80" t="n"/>
      <c r="G8" s="80" t="n"/>
      <c r="H8" s="81">
        <f>SUM(H5:H7)</f>
        <v/>
      </c>
      <c r="I8" s="80" t="n"/>
      <c r="J8" s="81">
        <f>SUM(J5:J7)</f>
        <v/>
      </c>
      <c r="K8" s="81">
        <f>H8+J8</f>
        <v/>
      </c>
    </row>
    <row r="10" ht="15" customHeight="1" s="51">
      <c r="A10" s="50" t="inlineStr">
        <is>
          <t>Por unidad:</t>
        </is>
      </c>
      <c r="K10" s="82">
        <f>K8/84</f>
        <v/>
      </c>
    </row>
    <row r="12" ht="15" customHeight="1" s="51">
      <c r="A12" s="50" t="inlineStr">
        <is>
          <t>Incidencia por unidad:</t>
        </is>
      </c>
      <c r="K12" s="83">
        <f>K10/Parametros!$B$10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18" activeCellId="0" sqref="C18"/>
    </sheetView>
  </sheetViews>
  <sheetFormatPr baseColWidth="8" defaultColWidth="8.71484375" defaultRowHeight="15" zeroHeight="0" outlineLevelRow="0"/>
  <cols>
    <col width="44" customWidth="1" style="50" min="1" max="1"/>
    <col width="7" customWidth="1" style="50" min="2" max="2"/>
    <col width="12" customWidth="1" style="50" min="3" max="3"/>
    <col width="7" customWidth="1" style="50" min="4" max="4"/>
    <col width="15" customWidth="1" style="50" min="5" max="5"/>
    <col width="9" customWidth="1" style="50" min="6" max="6"/>
    <col width="15" customWidth="1" style="50" min="7" max="8"/>
    <col width="10" customWidth="1" style="50" min="9" max="9"/>
    <col width="12" customWidth="1" style="50" min="10" max="10"/>
    <col width="13" customWidth="1" style="50" min="11" max="11"/>
  </cols>
  <sheetData>
    <row r="1" ht="15.75" customHeight="1" s="51">
      <c r="A1" s="59" t="inlineStr">
        <is>
          <t>ITEM 3 — UPGRADE 1 PARA EL CLIENTE: pantalla completa (sin descuento) + iluminación (individual, por unidad)</t>
        </is>
      </c>
    </row>
    <row r="2" ht="15" customHeight="1" s="51">
      <c r="A2" s="63" t="inlineStr">
        <is>
          <t>Margen aplicado: Parametros!$B$6 (20% Domótica)</t>
        </is>
      </c>
    </row>
    <row r="4" ht="26.25" customHeight="1" s="51">
      <c r="A4" s="60" t="inlineStr">
        <is>
          <t>Dispositivo</t>
        </is>
      </c>
      <c r="B4" s="60" t="inlineStr">
        <is>
          <t>Cant.</t>
        </is>
      </c>
      <c r="C4" s="60" t="inlineStr">
        <is>
          <t>Precio s/IVA</t>
        </is>
      </c>
      <c r="D4" s="60" t="inlineStr">
        <is>
          <t>IVA%</t>
        </is>
      </c>
      <c r="E4" s="60" t="inlineStr">
        <is>
          <t>Precio c/IVA (costo)</t>
        </is>
      </c>
      <c r="F4" s="60" t="inlineStr">
        <is>
          <t>Margen</t>
        </is>
      </c>
      <c r="G4" s="60" t="inlineStr">
        <is>
          <t>Precio venta unit.</t>
        </is>
      </c>
      <c r="H4" s="60" t="inlineStr">
        <is>
          <t>Subtotal equipo</t>
        </is>
      </c>
      <c r="I4" s="60" t="inlineStr">
        <is>
          <t>MO unit.</t>
        </is>
      </c>
      <c r="J4" s="60" t="inlineStr">
        <is>
          <t>Subtotal MO</t>
        </is>
      </c>
      <c r="K4" s="60" t="inlineStr">
        <is>
          <t>TOTAL línea</t>
        </is>
      </c>
    </row>
    <row r="5" ht="15" customHeight="1" s="51">
      <c r="A5" s="56" t="inlineStr">
        <is>
          <t>Pantalla Android DS-KH9310-WTE1(B) (completa, no se resta la básica)</t>
        </is>
      </c>
      <c r="B5" s="56" t="n">
        <v>1</v>
      </c>
      <c r="C5" s="75">
        <f>Dispositivos!D6</f>
        <v/>
      </c>
      <c r="D5" s="76">
        <f>Dispositivos!E6</f>
        <v/>
      </c>
      <c r="E5" s="77">
        <f>C5*(1+D5)</f>
        <v/>
      </c>
      <c r="F5" s="78">
        <f>Parametros!$B$6</f>
        <v/>
      </c>
      <c r="G5" s="77">
        <f>E5*(1+F5)</f>
        <v/>
      </c>
      <c r="H5" s="77">
        <f>G5*B5</f>
        <v/>
      </c>
      <c r="I5" s="75">
        <f>Dispositivos!F6</f>
        <v/>
      </c>
      <c r="J5" s="77">
        <f>I5*B5</f>
        <v/>
      </c>
      <c r="K5" s="77">
        <f>H5+J5</f>
        <v/>
      </c>
    </row>
    <row r="6" ht="15" customHeight="1" s="51">
      <c r="A6" s="56" t="inlineStr">
        <is>
          <t>Relé Shelly 1PM Mini Gen4 (iluminación, ~2/u)</t>
        </is>
      </c>
      <c r="B6" s="56" t="n">
        <v>2</v>
      </c>
      <c r="C6" s="75">
        <f>Dispositivos!D7</f>
        <v/>
      </c>
      <c r="D6" s="76">
        <f>Dispositivos!E7</f>
        <v/>
      </c>
      <c r="E6" s="77">
        <f>C6*(1+D6)</f>
        <v/>
      </c>
      <c r="F6" s="78">
        <f>Parametros!$B$6</f>
        <v/>
      </c>
      <c r="G6" s="77">
        <f>E6*(1+F6)</f>
        <v/>
      </c>
      <c r="H6" s="77">
        <f>G6*B6</f>
        <v/>
      </c>
      <c r="I6" s="75">
        <f>Dispositivos!F7</f>
        <v/>
      </c>
      <c r="J6" s="77">
        <f>I6*B6</f>
        <v/>
      </c>
      <c r="K6" s="77">
        <f>H6+J6</f>
        <v/>
      </c>
    </row>
    <row r="7" ht="15" customHeight="1" s="51">
      <c r="A7" s="79" t="inlineStr">
        <is>
          <t>TOTAL Item 3 (por unidad)</t>
        </is>
      </c>
      <c r="B7" s="80" t="n"/>
      <c r="C7" s="80" t="n"/>
      <c r="D7" s="80" t="n"/>
      <c r="E7" s="80" t="n"/>
      <c r="F7" s="80" t="n"/>
      <c r="G7" s="80" t="n"/>
      <c r="H7" s="81">
        <f>SUM(H5:H6)</f>
        <v/>
      </c>
      <c r="I7" s="80" t="n"/>
      <c r="J7" s="81">
        <f>SUM(J5:J6)</f>
        <v/>
      </c>
      <c r="K7" s="81">
        <f>H7+J7</f>
        <v/>
      </c>
    </row>
    <row r="9" ht="15" customHeight="1" s="51">
      <c r="A9" s="50" t="inlineStr">
        <is>
          <t>Incidencia por unidad:</t>
        </is>
      </c>
      <c r="K9" s="83">
        <f>K7/Parametros!$B$10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10" activePane="bottomLeft" state="frozen"/>
      <selection pane="topLeft" activeCell="A1" activeCellId="0" sqref="A1"/>
      <selection pane="bottomLeft" activeCell="K20" activeCellId="0" sqref="K20"/>
    </sheetView>
  </sheetViews>
  <sheetFormatPr baseColWidth="8" defaultColWidth="8.71484375" defaultRowHeight="15" zeroHeight="0" outlineLevelRow="0"/>
  <cols>
    <col width="44" customWidth="1" style="50" min="1" max="1"/>
    <col width="7" customWidth="1" style="50" min="2" max="2"/>
    <col width="12" customWidth="1" style="50" min="3" max="3"/>
    <col width="7" customWidth="1" style="50" min="4" max="4"/>
    <col width="15" customWidth="1" style="50" min="5" max="5"/>
    <col width="9" customWidth="1" style="50" min="6" max="6"/>
    <col width="15" customWidth="1" style="50" min="7" max="8"/>
    <col width="10" customWidth="1" style="50" min="9" max="9"/>
    <col width="12" customWidth="1" style="50" min="10" max="10"/>
    <col width="13" customWidth="1" style="50" min="11" max="11"/>
  </cols>
  <sheetData>
    <row r="1" ht="15.75" customHeight="1" s="51">
      <c r="A1" s="59" t="inlineStr">
        <is>
          <t>ITEM 4 — UPGRADE 2 PARA EL CLIENTE: dimmer + sensor + control de AC + cortinas (requiere Upgrade 1 ya puesto)</t>
        </is>
      </c>
    </row>
    <row r="2" ht="15" customHeight="1" s="51">
      <c r="A2" s="63" t="inlineStr">
        <is>
          <t>Margen aplicado: Parametros!$B$6 (20%)</t>
        </is>
      </c>
    </row>
    <row r="4" ht="15" customHeight="1" s="51">
      <c r="A4" s="84" t="inlineStr">
        <is>
          <t>--- Tipología 1 Dormitorio ---</t>
        </is>
      </c>
    </row>
    <row r="5" ht="26.25" customHeight="1" s="51">
      <c r="A5" s="60" t="inlineStr">
        <is>
          <t>Dispositivo</t>
        </is>
      </c>
      <c r="B5" s="60" t="inlineStr">
        <is>
          <t>Cant.</t>
        </is>
      </c>
      <c r="C5" s="60" t="inlineStr">
        <is>
          <t>Precio s/IVA</t>
        </is>
      </c>
      <c r="D5" s="60" t="inlineStr">
        <is>
          <t>IVA%</t>
        </is>
      </c>
      <c r="E5" s="60" t="inlineStr">
        <is>
          <t>Precio c/IVA</t>
        </is>
      </c>
      <c r="F5" s="60" t="inlineStr">
        <is>
          <t>Margen</t>
        </is>
      </c>
      <c r="G5" s="60" t="inlineStr">
        <is>
          <t>Precio venta unit.</t>
        </is>
      </c>
      <c r="H5" s="60" t="inlineStr">
        <is>
          <t>Subtotal equipo</t>
        </is>
      </c>
      <c r="I5" s="60" t="inlineStr">
        <is>
          <t>MO unit.</t>
        </is>
      </c>
      <c r="J5" s="60" t="inlineStr">
        <is>
          <t>Subtotal MO</t>
        </is>
      </c>
      <c r="K5" s="60" t="inlineStr">
        <is>
          <t>TOTAL línea</t>
        </is>
      </c>
    </row>
    <row r="6" ht="15" customHeight="1" s="51">
      <c r="A6" s="56" t="inlineStr">
        <is>
          <t>Dimmer Shelly Gen4</t>
        </is>
      </c>
      <c r="B6" s="56" t="n">
        <v>1</v>
      </c>
      <c r="C6" s="75">
        <f>Dispositivos!D8</f>
        <v/>
      </c>
      <c r="D6" s="76">
        <f>Dispositivos!E8</f>
        <v/>
      </c>
      <c r="E6" s="77">
        <f>C6*(1+D6)</f>
        <v/>
      </c>
      <c r="F6" s="78">
        <f>Parametros!$B$6</f>
        <v/>
      </c>
      <c r="G6" s="77">
        <f>E6*(1+F6)</f>
        <v/>
      </c>
      <c r="H6" s="77">
        <f>G6*B6</f>
        <v/>
      </c>
      <c r="I6" s="75">
        <f>Dispositivos!F8</f>
        <v/>
      </c>
      <c r="J6" s="77">
        <f>I6*B6</f>
        <v/>
      </c>
      <c r="K6" s="77">
        <f>H6+J6</f>
        <v/>
      </c>
    </row>
    <row r="7" ht="15" customHeight="1" s="51">
      <c r="A7" s="56" t="inlineStr">
        <is>
          <t>Sensor apertura BLU Door/Window ZB</t>
        </is>
      </c>
      <c r="B7" s="56" t="n">
        <v>1</v>
      </c>
      <c r="C7" s="75">
        <f>Dispositivos!D9</f>
        <v/>
      </c>
      <c r="D7" s="76">
        <f>Dispositivos!E9</f>
        <v/>
      </c>
      <c r="E7" s="77">
        <f>C7*(1+D7)</f>
        <v/>
      </c>
      <c r="F7" s="78">
        <f>Parametros!$B$6</f>
        <v/>
      </c>
      <c r="G7" s="77">
        <f>E7*(1+F7)</f>
        <v/>
      </c>
      <c r="H7" s="77">
        <f>G7*B7</f>
        <v/>
      </c>
      <c r="I7" s="75">
        <f>Dispositivos!F9</f>
        <v/>
      </c>
      <c r="J7" s="77">
        <f>I7*B7</f>
        <v/>
      </c>
      <c r="K7" s="77">
        <f>H7+J7</f>
        <v/>
      </c>
    </row>
    <row r="8" ht="15" customHeight="1" s="51">
      <c r="A8" s="56" t="inlineStr">
        <is>
          <t>Sensibo Air B2B (control AC x2)</t>
        </is>
      </c>
      <c r="B8" s="56" t="n">
        <v>2</v>
      </c>
      <c r="C8" s="75">
        <f>Dispositivos!D10</f>
        <v/>
      </c>
      <c r="D8" s="76">
        <f>Dispositivos!E10</f>
        <v/>
      </c>
      <c r="E8" s="77">
        <f>C8*(1+D8)</f>
        <v/>
      </c>
      <c r="F8" s="78">
        <f>Parametros!$B$6</f>
        <v/>
      </c>
      <c r="G8" s="77">
        <f>E8*(1+F8)</f>
        <v/>
      </c>
      <c r="H8" s="77">
        <f>G8*B8</f>
        <v/>
      </c>
      <c r="I8" s="75">
        <f>Dispositivos!F10</f>
        <v/>
      </c>
      <c r="J8" s="77">
        <f>I8*B8</f>
        <v/>
      </c>
      <c r="K8" s="77">
        <f>H8+J8</f>
        <v/>
      </c>
    </row>
    <row r="9" ht="15" customHeight="1" s="51">
      <c r="A9" s="56" t="inlineStr">
        <is>
          <t>Shelly Plus 2PM Gen4 (cortinas x3)</t>
        </is>
      </c>
      <c r="B9" s="56" t="n">
        <v>3</v>
      </c>
      <c r="C9" s="75">
        <f>Dispositivos!D11</f>
        <v/>
      </c>
      <c r="D9" s="76">
        <f>Dispositivos!E11</f>
        <v/>
      </c>
      <c r="E9" s="77">
        <f>C9*(1+D9)</f>
        <v/>
      </c>
      <c r="F9" s="78">
        <f>Parametros!$B$6</f>
        <v/>
      </c>
      <c r="G9" s="77">
        <f>E9*(1+F9)</f>
        <v/>
      </c>
      <c r="H9" s="77">
        <f>G9*B9</f>
        <v/>
      </c>
      <c r="I9" s="75">
        <f>Dispositivos!F11</f>
        <v/>
      </c>
      <c r="J9" s="77">
        <f>I9*B9</f>
        <v/>
      </c>
      <c r="K9" s="77">
        <f>H9+J9</f>
        <v/>
      </c>
    </row>
    <row r="10" ht="15" customHeight="1" s="51">
      <c r="A10" s="79" t="inlineStr">
        <is>
          <t>TOTAL 1 Dormitorio</t>
        </is>
      </c>
      <c r="B10" s="80" t="n"/>
      <c r="C10" s="80" t="n"/>
      <c r="D10" s="80" t="n"/>
      <c r="E10" s="80" t="n"/>
      <c r="F10" s="80" t="n"/>
      <c r="G10" s="80" t="n"/>
      <c r="H10" s="81">
        <f>SUM(H6:H9)</f>
        <v/>
      </c>
      <c r="I10" s="80" t="n"/>
      <c r="J10" s="81">
        <f>SUM(J6:J9)</f>
        <v/>
      </c>
      <c r="K10" s="81">
        <f>H10+J10</f>
        <v/>
      </c>
    </row>
    <row r="12" ht="15" customHeight="1" s="51">
      <c r="A12" s="50" t="inlineStr">
        <is>
          <t>Incidencia por unidad:</t>
        </is>
      </c>
      <c r="K12" s="83">
        <f>K10/Parametros!$B$10</f>
        <v/>
      </c>
    </row>
    <row r="14" ht="15" customHeight="1" s="51">
      <c r="A14" s="84" t="inlineStr">
        <is>
          <t>--- Tipología 2 Dormitorios ---</t>
        </is>
      </c>
    </row>
    <row r="15" ht="26.25" customHeight="1" s="51">
      <c r="A15" s="60" t="inlineStr">
        <is>
          <t>Dispositivo</t>
        </is>
      </c>
      <c r="B15" s="60" t="inlineStr">
        <is>
          <t>Cant.</t>
        </is>
      </c>
      <c r="C15" s="60" t="inlineStr">
        <is>
          <t>Precio s/IVA</t>
        </is>
      </c>
      <c r="D15" s="60" t="inlineStr">
        <is>
          <t>IVA%</t>
        </is>
      </c>
      <c r="E15" s="60" t="inlineStr">
        <is>
          <t>Precio c/IVA</t>
        </is>
      </c>
      <c r="F15" s="60" t="inlineStr">
        <is>
          <t>Margen</t>
        </is>
      </c>
      <c r="G15" s="60" t="inlineStr">
        <is>
          <t>Precio venta unit.</t>
        </is>
      </c>
      <c r="H15" s="60" t="inlineStr">
        <is>
          <t>Subtotal equipo</t>
        </is>
      </c>
      <c r="I15" s="60" t="inlineStr">
        <is>
          <t>MO unit.</t>
        </is>
      </c>
      <c r="J15" s="60" t="inlineStr">
        <is>
          <t>Subtotal MO</t>
        </is>
      </c>
      <c r="K15" s="60" t="inlineStr">
        <is>
          <t>TOTAL línea</t>
        </is>
      </c>
    </row>
    <row r="16" ht="15" customHeight="1" s="51">
      <c r="A16" s="56" t="inlineStr">
        <is>
          <t>Dimmer Shelly Gen4</t>
        </is>
      </c>
      <c r="B16" s="56" t="n">
        <v>1</v>
      </c>
      <c r="C16" s="75">
        <f>Dispositivos!D8</f>
        <v/>
      </c>
      <c r="D16" s="76">
        <f>Dispositivos!E8</f>
        <v/>
      </c>
      <c r="E16" s="77">
        <f>C16*(1+D16)</f>
        <v/>
      </c>
      <c r="F16" s="78">
        <f>Parametros!$B$6</f>
        <v/>
      </c>
      <c r="G16" s="77">
        <f>E16*(1+F16)</f>
        <v/>
      </c>
      <c r="H16" s="77">
        <f>G16*B16</f>
        <v/>
      </c>
      <c r="I16" s="75">
        <f>Dispositivos!F8</f>
        <v/>
      </c>
      <c r="J16" s="77">
        <f>I16*B16</f>
        <v/>
      </c>
      <c r="K16" s="77">
        <f>H16+J16</f>
        <v/>
      </c>
    </row>
    <row r="17" ht="15" customHeight="1" s="51">
      <c r="A17" s="56" t="inlineStr">
        <is>
          <t>Sensor apertura BLU Door/Window ZB</t>
        </is>
      </c>
      <c r="B17" s="56" t="n">
        <v>1</v>
      </c>
      <c r="C17" s="75">
        <f>Dispositivos!D9</f>
        <v/>
      </c>
      <c r="D17" s="76">
        <f>Dispositivos!E9</f>
        <v/>
      </c>
      <c r="E17" s="77">
        <f>C17*(1+D17)</f>
        <v/>
      </c>
      <c r="F17" s="78">
        <f>Parametros!$B$6</f>
        <v/>
      </c>
      <c r="G17" s="77">
        <f>E17*(1+F17)</f>
        <v/>
      </c>
      <c r="H17" s="77">
        <f>G17*B17</f>
        <v/>
      </c>
      <c r="I17" s="75">
        <f>Dispositivos!F9</f>
        <v/>
      </c>
      <c r="J17" s="77">
        <f>I17*B17</f>
        <v/>
      </c>
      <c r="K17" s="77">
        <f>H17+J17</f>
        <v/>
      </c>
    </row>
    <row r="18" ht="15" customHeight="1" s="51">
      <c r="A18" s="56" t="inlineStr">
        <is>
          <t>Sensibo Air B2B (control AC x3)</t>
        </is>
      </c>
      <c r="B18" s="56" t="n">
        <v>3</v>
      </c>
      <c r="C18" s="75">
        <f>Dispositivos!D10</f>
        <v/>
      </c>
      <c r="D18" s="76">
        <f>Dispositivos!E10</f>
        <v/>
      </c>
      <c r="E18" s="77">
        <f>C18*(1+D18)</f>
        <v/>
      </c>
      <c r="F18" s="78">
        <f>Parametros!$B$6</f>
        <v/>
      </c>
      <c r="G18" s="77">
        <f>E18*(1+F18)</f>
        <v/>
      </c>
      <c r="H18" s="77">
        <f>G18*B18</f>
        <v/>
      </c>
      <c r="I18" s="75">
        <f>Dispositivos!F10</f>
        <v/>
      </c>
      <c r="J18" s="77">
        <f>I18*B18</f>
        <v/>
      </c>
      <c r="K18" s="77">
        <f>H18+J18</f>
        <v/>
      </c>
    </row>
    <row r="19" ht="15" customHeight="1" s="51">
      <c r="A19" s="56" t="inlineStr">
        <is>
          <t>Shelly Plus 2PM Gen4 (cortinas x3)</t>
        </is>
      </c>
      <c r="B19" s="56" t="n">
        <v>3</v>
      </c>
      <c r="C19" s="75">
        <f>Dispositivos!D11</f>
        <v/>
      </c>
      <c r="D19" s="76">
        <f>Dispositivos!E11</f>
        <v/>
      </c>
      <c r="E19" s="77">
        <f>C19*(1+D19)</f>
        <v/>
      </c>
      <c r="F19" s="78">
        <f>Parametros!$B$6</f>
        <v/>
      </c>
      <c r="G19" s="77">
        <f>E19*(1+F19)</f>
        <v/>
      </c>
      <c r="H19" s="77">
        <f>G19*B19</f>
        <v/>
      </c>
      <c r="I19" s="75">
        <f>Dispositivos!F11</f>
        <v/>
      </c>
      <c r="J19" s="77">
        <f>I19*B19</f>
        <v/>
      </c>
      <c r="K19" s="77">
        <f>H19+J19</f>
        <v/>
      </c>
    </row>
    <row r="20" ht="15" customHeight="1" s="51">
      <c r="A20" s="79" t="inlineStr">
        <is>
          <t>TOTAL 2 Dormitorios</t>
        </is>
      </c>
      <c r="B20" s="80" t="n"/>
      <c r="C20" s="80" t="n"/>
      <c r="D20" s="80" t="n"/>
      <c r="E20" s="80" t="n"/>
      <c r="F20" s="80" t="n"/>
      <c r="G20" s="80" t="n"/>
      <c r="H20" s="81">
        <f>SUM(H16:H19)</f>
        <v/>
      </c>
      <c r="I20" s="80" t="n"/>
      <c r="J20" s="81">
        <f>SUM(J16:J19)</f>
        <v/>
      </c>
      <c r="K20" s="81">
        <f>H20+J20</f>
        <v/>
      </c>
    </row>
    <row r="22" ht="15" customHeight="1" s="51">
      <c r="A22" s="50" t="inlineStr">
        <is>
          <t>Incidencia por unidad:</t>
        </is>
      </c>
      <c r="K22" s="83">
        <f>K20/Parametros!$B$10</f>
        <v/>
      </c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50" min="1" max="1"/>
    <col width="7" customWidth="1" style="50" min="2" max="2"/>
    <col width="12" customWidth="1" style="50" min="3" max="3"/>
    <col width="7" customWidth="1" style="50" min="4" max="4"/>
    <col width="15" customWidth="1" style="50" min="5" max="5"/>
    <col width="9" customWidth="1" style="50" min="6" max="6"/>
    <col width="15" customWidth="1" style="50" min="7" max="8"/>
    <col width="16" customWidth="1" style="50" min="9" max="9"/>
    <col width="12" customWidth="1" style="50" min="10" max="10"/>
    <col width="13" customWidth="1" style="50" min="11" max="11"/>
  </cols>
  <sheetData>
    <row r="1" ht="16.15" customHeight="1" s="51">
      <c r="A1" s="59" t="inlineStr">
        <is>
          <t>ITEM 5 — UPGRADE 3 STANDALONE: sin Integración Tecnológica ni Inmótica de Calypso (tipo Panoramic)</t>
        </is>
      </c>
    </row>
    <row r="2" ht="15" customHeight="1" s="51">
      <c r="A2" s="63" t="inlineStr">
        <is>
          <t>Margen equipo: Parametros!$B$18 (35%) | Recargo MO retrofit: Parametros!$B$19 (+40%) | Visita técnica: Parametros!$B$20 (fee fijo)</t>
        </is>
      </c>
    </row>
    <row r="4" ht="15" customHeight="1" s="51">
      <c r="A4" s="84" t="inlineStr">
        <is>
          <t>--- Tipología 1 Dormitorio ---</t>
        </is>
      </c>
    </row>
    <row r="5" ht="26.85" customHeight="1" s="51">
      <c r="A5" s="60" t="inlineStr">
        <is>
          <t>Dispositivo</t>
        </is>
      </c>
      <c r="B5" s="60" t="inlineStr">
        <is>
          <t>Cant.</t>
        </is>
      </c>
      <c r="C5" s="60" t="inlineStr">
        <is>
          <t>Precio s/IVA</t>
        </is>
      </c>
      <c r="D5" s="60" t="inlineStr">
        <is>
          <t>IVA%</t>
        </is>
      </c>
      <c r="E5" s="60" t="inlineStr">
        <is>
          <t>Precio c/IVA</t>
        </is>
      </c>
      <c r="F5" s="60" t="inlineStr">
        <is>
          <t>Margen</t>
        </is>
      </c>
      <c r="G5" s="60" t="inlineStr">
        <is>
          <t>Precio venta unit.</t>
        </is>
      </c>
      <c r="H5" s="60" t="inlineStr">
        <is>
          <t>Subtotal equipo</t>
        </is>
      </c>
      <c r="I5" s="60" t="inlineStr">
        <is>
          <t>MO unit. (+recargo)</t>
        </is>
      </c>
      <c r="J5" s="60" t="inlineStr">
        <is>
          <t>Subtotal MO</t>
        </is>
      </c>
      <c r="K5" s="60" t="inlineStr">
        <is>
          <t>TOTAL línea</t>
        </is>
      </c>
    </row>
    <row r="6" ht="15" customHeight="1" s="51">
      <c r="A6" s="56" t="inlineStr">
        <is>
          <t>Cerradura digital Yale KIT YMC420 + HUB (standalone)</t>
        </is>
      </c>
      <c r="B6" s="56" t="n">
        <v>1</v>
      </c>
      <c r="C6" s="75">
        <f>Dispositivos!D4</f>
        <v/>
      </c>
      <c r="D6" s="76">
        <f>Dispositivos!E4</f>
        <v/>
      </c>
      <c r="E6" s="77">
        <f>C6*(1+D6)</f>
        <v/>
      </c>
      <c r="F6" s="78">
        <f>Parametros!$B$18</f>
        <v/>
      </c>
      <c r="G6" s="77">
        <f>E6*(1+F6)</f>
        <v/>
      </c>
      <c r="H6" s="77">
        <f>G6*B6</f>
        <v/>
      </c>
      <c r="I6" s="75">
        <f>Dispositivos!F4*(1+Parametros!$B$19)</f>
        <v/>
      </c>
      <c r="J6" s="77">
        <f>I6*B6</f>
        <v/>
      </c>
      <c r="K6" s="77">
        <f>H6+J6</f>
        <v/>
      </c>
    </row>
    <row r="7" ht="15" customHeight="1" s="51">
      <c r="A7" s="56" t="inlineStr">
        <is>
          <t>Shelly Wall Display (chica, standalone)</t>
        </is>
      </c>
      <c r="B7" s="56" t="n">
        <v>1</v>
      </c>
      <c r="C7" s="75">
        <f>Dispositivos!D13</f>
        <v/>
      </c>
      <c r="D7" s="76">
        <f>Dispositivos!E13</f>
        <v/>
      </c>
      <c r="E7" s="77">
        <f>C7*(1+D7)</f>
        <v/>
      </c>
      <c r="F7" s="78">
        <f>Parametros!$B$18</f>
        <v/>
      </c>
      <c r="G7" s="77">
        <f>E7*(1+F7)</f>
        <v/>
      </c>
      <c r="H7" s="77">
        <f>G7*B7</f>
        <v/>
      </c>
      <c r="I7" s="75">
        <f>Dispositivos!F13*(1+Parametros!$B$19)</f>
        <v/>
      </c>
      <c r="J7" s="77">
        <f>I7*B7</f>
        <v/>
      </c>
      <c r="K7" s="77">
        <f>H7+J7</f>
        <v/>
      </c>
    </row>
    <row r="8" ht="15" customHeight="1" s="51">
      <c r="A8" s="56" t="inlineStr">
        <is>
          <t>Home Assistant Green (standalone)</t>
        </is>
      </c>
      <c r="B8" s="56" t="n">
        <v>1</v>
      </c>
      <c r="C8" s="75">
        <f>Dispositivos!D12</f>
        <v/>
      </c>
      <c r="D8" s="76">
        <f>Dispositivos!E12</f>
        <v/>
      </c>
      <c r="E8" s="77">
        <f>C8*(1+D8)</f>
        <v/>
      </c>
      <c r="F8" s="78">
        <f>Parametros!$B$18</f>
        <v/>
      </c>
      <c r="G8" s="77">
        <f>E8*(1+F8)</f>
        <v/>
      </c>
      <c r="H8" s="77">
        <f>G8*B8</f>
        <v/>
      </c>
      <c r="I8" s="75">
        <f>Dispositivos!F12*(1+Parametros!$B$19)</f>
        <v/>
      </c>
      <c r="J8" s="77">
        <f>I8*B8</f>
        <v/>
      </c>
      <c r="K8" s="77">
        <f>H8+J8</f>
        <v/>
      </c>
    </row>
    <row r="9" ht="15" customHeight="1" s="51">
      <c r="A9" s="56" t="inlineStr">
        <is>
          <t>Router TP-Link Archer AX55 (standalone)</t>
        </is>
      </c>
      <c r="B9" s="56" t="n">
        <v>1</v>
      </c>
      <c r="C9" s="75">
        <f>Dispositivos!D14</f>
        <v/>
      </c>
      <c r="D9" s="76">
        <f>Dispositivos!E14</f>
        <v/>
      </c>
      <c r="E9" s="77">
        <f>C9*(1+D9)</f>
        <v/>
      </c>
      <c r="F9" s="78">
        <f>Parametros!$B$18</f>
        <v/>
      </c>
      <c r="G9" s="77">
        <f>E9*(1+F9)</f>
        <v/>
      </c>
      <c r="H9" s="77">
        <f>G9*B9</f>
        <v/>
      </c>
      <c r="I9" s="75">
        <f>Dispositivos!F14*(1+Parametros!$B$19)</f>
        <v/>
      </c>
      <c r="J9" s="77">
        <f>I9*B9</f>
        <v/>
      </c>
      <c r="K9" s="77">
        <f>H9+J9</f>
        <v/>
      </c>
    </row>
    <row r="10" ht="15" customHeight="1" s="51">
      <c r="A10" s="56" t="inlineStr">
        <is>
          <t>Relé Shelly 1PM Mini Gen4 (iluminación, ~2/u)</t>
        </is>
      </c>
      <c r="B10" s="56" t="n">
        <v>2</v>
      </c>
      <c r="C10" s="75">
        <f>Dispositivos!D7</f>
        <v/>
      </c>
      <c r="D10" s="76">
        <f>Dispositivos!E7</f>
        <v/>
      </c>
      <c r="E10" s="77">
        <f>C10*(1+D10)</f>
        <v/>
      </c>
      <c r="F10" s="78">
        <f>Parametros!$B$18</f>
        <v/>
      </c>
      <c r="G10" s="77">
        <f>E10*(1+F10)</f>
        <v/>
      </c>
      <c r="H10" s="77">
        <f>G10*B10</f>
        <v/>
      </c>
      <c r="I10" s="75">
        <f>Dispositivos!F7*(1+Parametros!$B$19)</f>
        <v/>
      </c>
      <c r="J10" s="77">
        <f>I10*B10</f>
        <v/>
      </c>
      <c r="K10" s="77">
        <f>H10+J10</f>
        <v/>
      </c>
    </row>
    <row r="11" ht="15" customHeight="1" s="51">
      <c r="A11" s="56" t="inlineStr">
        <is>
          <t>Dimmer Shelly Gen4</t>
        </is>
      </c>
      <c r="B11" s="56" t="n">
        <v>1</v>
      </c>
      <c r="C11" s="75">
        <f>Dispositivos!D8</f>
        <v/>
      </c>
      <c r="D11" s="76">
        <f>Dispositivos!E8</f>
        <v/>
      </c>
      <c r="E11" s="77">
        <f>C11*(1+D11)</f>
        <v/>
      </c>
      <c r="F11" s="78">
        <f>Parametros!$B$18</f>
        <v/>
      </c>
      <c r="G11" s="77">
        <f>E11*(1+F11)</f>
        <v/>
      </c>
      <c r="H11" s="77">
        <f>G11*B11</f>
        <v/>
      </c>
      <c r="I11" s="75">
        <f>Dispositivos!F8*(1+Parametros!$B$19)</f>
        <v/>
      </c>
      <c r="J11" s="77">
        <f>I11*B11</f>
        <v/>
      </c>
      <c r="K11" s="77">
        <f>H11+J11</f>
        <v/>
      </c>
    </row>
    <row r="12" ht="15" customHeight="1" s="51">
      <c r="A12" s="56" t="inlineStr">
        <is>
          <t>Sensor apertura BLU Door/Window ZB</t>
        </is>
      </c>
      <c r="B12" s="56" t="n">
        <v>1</v>
      </c>
      <c r="C12" s="75">
        <f>Dispositivos!D9</f>
        <v/>
      </c>
      <c r="D12" s="76">
        <f>Dispositivos!E9</f>
        <v/>
      </c>
      <c r="E12" s="77">
        <f>C12*(1+D12)</f>
        <v/>
      </c>
      <c r="F12" s="78">
        <f>Parametros!$B$18</f>
        <v/>
      </c>
      <c r="G12" s="77">
        <f>E12*(1+F12)</f>
        <v/>
      </c>
      <c r="H12" s="77">
        <f>G12*B12</f>
        <v/>
      </c>
      <c r="I12" s="75">
        <f>Dispositivos!F9*(1+Parametros!$B$19)</f>
        <v/>
      </c>
      <c r="J12" s="77">
        <f>I12*B12</f>
        <v/>
      </c>
      <c r="K12" s="77">
        <f>H12+J12</f>
        <v/>
      </c>
    </row>
    <row r="13" ht="15" customHeight="1" s="51">
      <c r="A13" s="56" t="inlineStr">
        <is>
          <t>Sensibo Air B2B (control AC x2)</t>
        </is>
      </c>
      <c r="B13" s="56" t="n">
        <v>2</v>
      </c>
      <c r="C13" s="75">
        <f>Dispositivos!D10</f>
        <v/>
      </c>
      <c r="D13" s="76">
        <f>Dispositivos!E10</f>
        <v/>
      </c>
      <c r="E13" s="77">
        <f>C13*(1+D13)</f>
        <v/>
      </c>
      <c r="F13" s="78">
        <f>Parametros!$B$18</f>
        <v/>
      </c>
      <c r="G13" s="77">
        <f>E13*(1+F13)</f>
        <v/>
      </c>
      <c r="H13" s="77">
        <f>G13*B13</f>
        <v/>
      </c>
      <c r="I13" s="75">
        <f>Dispositivos!F10*(1+Parametros!$B$19)</f>
        <v/>
      </c>
      <c r="J13" s="77">
        <f>I13*B13</f>
        <v/>
      </c>
      <c r="K13" s="77">
        <f>H13+J13</f>
        <v/>
      </c>
    </row>
    <row r="14" ht="15" customHeight="1" s="51">
      <c r="A14" s="56" t="inlineStr">
        <is>
          <t>Shelly Plus 2PM Gen4 (cortinas x3)</t>
        </is>
      </c>
      <c r="B14" s="56" t="n">
        <v>3</v>
      </c>
      <c r="C14" s="75">
        <f>Dispositivos!D11</f>
        <v/>
      </c>
      <c r="D14" s="76">
        <f>Dispositivos!E11</f>
        <v/>
      </c>
      <c r="E14" s="77">
        <f>C14*(1+D14)</f>
        <v/>
      </c>
      <c r="F14" s="78">
        <f>Parametros!$B$18</f>
        <v/>
      </c>
      <c r="G14" s="77">
        <f>E14*(1+F14)</f>
        <v/>
      </c>
      <c r="H14" s="77">
        <f>G14*B14</f>
        <v/>
      </c>
      <c r="I14" s="75">
        <f>Dispositivos!F11*(1+Parametros!$B$19)</f>
        <v/>
      </c>
      <c r="J14" s="77">
        <f>I14*B14</f>
        <v/>
      </c>
      <c r="K14" s="77">
        <f>H14+J14</f>
        <v/>
      </c>
    </row>
    <row r="15" ht="15" customHeight="1" s="51">
      <c r="A15" s="56" t="inlineStr">
        <is>
          <t>Visita técnica inicial (fee fijo, no existe en instalación en bloque)</t>
        </is>
      </c>
      <c r="B15" s="56" t="n">
        <v>1</v>
      </c>
      <c r="C15" s="56" t="n"/>
      <c r="D15" s="56" t="n"/>
      <c r="E15" s="56" t="n"/>
      <c r="F15" s="56" t="n"/>
      <c r="G15" s="56" t="n"/>
      <c r="H15" s="77" t="n">
        <v>0</v>
      </c>
      <c r="I15" s="56" t="n"/>
      <c r="J15" s="75">
        <f>Parametros!$B$20</f>
        <v/>
      </c>
      <c r="K15" s="77">
        <f>H15+J15</f>
        <v/>
      </c>
    </row>
    <row r="16" ht="15" customHeight="1" s="51">
      <c r="A16" s="79" t="inlineStr">
        <is>
          <t>TOTAL 1 Dormitorio</t>
        </is>
      </c>
      <c r="B16" s="80" t="n"/>
      <c r="C16" s="80" t="n"/>
      <c r="D16" s="80" t="n"/>
      <c r="E16" s="80" t="n"/>
      <c r="F16" s="80" t="n"/>
      <c r="G16" s="80" t="n"/>
      <c r="H16" s="81">
        <f>SUM(H6:H15)</f>
        <v/>
      </c>
      <c r="I16" s="80" t="n"/>
      <c r="J16" s="81">
        <f>SUM(J6:J15)</f>
        <v/>
      </c>
      <c r="K16" s="81">
        <f>H16+J16</f>
        <v/>
      </c>
    </row>
    <row r="18" ht="15" customHeight="1" s="51">
      <c r="A18" s="50" t="inlineStr">
        <is>
          <t>Incidencia por unidad:</t>
        </is>
      </c>
      <c r="K18" s="83">
        <f>K16/Parametros!$B$10</f>
        <v/>
      </c>
    </row>
    <row r="20" ht="15" customHeight="1" s="51">
      <c r="A20" s="84" t="inlineStr">
        <is>
          <t>--- Tipología 2 Dormitorios ---</t>
        </is>
      </c>
    </row>
    <row r="21" ht="26.85" customHeight="1" s="51">
      <c r="A21" s="60" t="inlineStr">
        <is>
          <t>Dispositivo</t>
        </is>
      </c>
      <c r="B21" s="60" t="inlineStr">
        <is>
          <t>Cant.</t>
        </is>
      </c>
      <c r="C21" s="60" t="inlineStr">
        <is>
          <t>Precio s/IVA</t>
        </is>
      </c>
      <c r="D21" s="60" t="inlineStr">
        <is>
          <t>IVA%</t>
        </is>
      </c>
      <c r="E21" s="60" t="inlineStr">
        <is>
          <t>Precio c/IVA</t>
        </is>
      </c>
      <c r="F21" s="60" t="inlineStr">
        <is>
          <t>Margen</t>
        </is>
      </c>
      <c r="G21" s="60" t="inlineStr">
        <is>
          <t>Precio venta unit.</t>
        </is>
      </c>
      <c r="H21" s="60" t="inlineStr">
        <is>
          <t>Subtotal equipo</t>
        </is>
      </c>
      <c r="I21" s="60" t="inlineStr">
        <is>
          <t>MO unit. (+recargo)</t>
        </is>
      </c>
      <c r="J21" s="60" t="inlineStr">
        <is>
          <t>Subtotal MO</t>
        </is>
      </c>
      <c r="K21" s="60" t="inlineStr">
        <is>
          <t>TOTAL línea</t>
        </is>
      </c>
    </row>
    <row r="22" ht="15" customHeight="1" s="51">
      <c r="A22" s="56" t="inlineStr">
        <is>
          <t>Cerradura digital Yale KIT YMC420 + HUB (standalone)</t>
        </is>
      </c>
      <c r="B22" s="56" t="n">
        <v>1</v>
      </c>
      <c r="C22" s="75">
        <f>Dispositivos!D4</f>
        <v/>
      </c>
      <c r="D22" s="76">
        <f>Dispositivos!E4</f>
        <v/>
      </c>
      <c r="E22" s="77">
        <f>C22*(1+D22)</f>
        <v/>
      </c>
      <c r="F22" s="78">
        <f>Parametros!$B$18</f>
        <v/>
      </c>
      <c r="G22" s="77">
        <f>E22*(1+F22)</f>
        <v/>
      </c>
      <c r="H22" s="77">
        <f>G22*B22</f>
        <v/>
      </c>
      <c r="I22" s="75">
        <f>Dispositivos!F4*(1+Parametros!$B$19)</f>
        <v/>
      </c>
      <c r="J22" s="77">
        <f>I22*B22</f>
        <v/>
      </c>
      <c r="K22" s="77">
        <f>H22+J22</f>
        <v/>
      </c>
    </row>
    <row r="23" ht="15" customHeight="1" s="51">
      <c r="A23" s="56" t="inlineStr">
        <is>
          <t>Shelly Wall Display (chica, standalone)</t>
        </is>
      </c>
      <c r="B23" s="56" t="n">
        <v>1</v>
      </c>
      <c r="C23" s="75">
        <f>Dispositivos!D13</f>
        <v/>
      </c>
      <c r="D23" s="76">
        <f>Dispositivos!E13</f>
        <v/>
      </c>
      <c r="E23" s="77">
        <f>C23*(1+D23)</f>
        <v/>
      </c>
      <c r="F23" s="78">
        <f>Parametros!$B$18</f>
        <v/>
      </c>
      <c r="G23" s="77">
        <f>E23*(1+F23)</f>
        <v/>
      </c>
      <c r="H23" s="77">
        <f>G23*B23</f>
        <v/>
      </c>
      <c r="I23" s="75">
        <f>Dispositivos!F13*(1+Parametros!$B$19)</f>
        <v/>
      </c>
      <c r="J23" s="77">
        <f>I23*B23</f>
        <v/>
      </c>
      <c r="K23" s="77">
        <f>H23+J23</f>
        <v/>
      </c>
    </row>
    <row r="24" ht="15" customHeight="1" s="51">
      <c r="A24" s="56" t="inlineStr">
        <is>
          <t>Home Assistant Green (standalone)</t>
        </is>
      </c>
      <c r="B24" s="56" t="n">
        <v>1</v>
      </c>
      <c r="C24" s="75">
        <f>Dispositivos!D12</f>
        <v/>
      </c>
      <c r="D24" s="76">
        <f>Dispositivos!E12</f>
        <v/>
      </c>
      <c r="E24" s="77">
        <f>C24*(1+D24)</f>
        <v/>
      </c>
      <c r="F24" s="78">
        <f>Parametros!$B$18</f>
        <v/>
      </c>
      <c r="G24" s="77">
        <f>E24*(1+F24)</f>
        <v/>
      </c>
      <c r="H24" s="77">
        <f>G24*B24</f>
        <v/>
      </c>
      <c r="I24" s="75">
        <f>Dispositivos!F12*(1+Parametros!$B$19)</f>
        <v/>
      </c>
      <c r="J24" s="77">
        <f>I24*B24</f>
        <v/>
      </c>
      <c r="K24" s="77">
        <f>H24+J24</f>
        <v/>
      </c>
    </row>
    <row r="25" ht="15" customHeight="1" s="51">
      <c r="A25" s="56" t="inlineStr">
        <is>
          <t>Router TP-Link Archer AX55 (standalone)</t>
        </is>
      </c>
      <c r="B25" s="56" t="n">
        <v>1</v>
      </c>
      <c r="C25" s="75">
        <f>Dispositivos!D14</f>
        <v/>
      </c>
      <c r="D25" s="76">
        <f>Dispositivos!E14</f>
        <v/>
      </c>
      <c r="E25" s="77">
        <f>C25*(1+D25)</f>
        <v/>
      </c>
      <c r="F25" s="78">
        <f>Parametros!$B$18</f>
        <v/>
      </c>
      <c r="G25" s="77">
        <f>E25*(1+F25)</f>
        <v/>
      </c>
      <c r="H25" s="77">
        <f>G25*B25</f>
        <v/>
      </c>
      <c r="I25" s="75">
        <f>Dispositivos!F14*(1+Parametros!$B$19)</f>
        <v/>
      </c>
      <c r="J25" s="77">
        <f>I25*B25</f>
        <v/>
      </c>
      <c r="K25" s="77">
        <f>H25+J25</f>
        <v/>
      </c>
    </row>
    <row r="26" ht="15" customHeight="1" s="51">
      <c r="A26" s="56" t="inlineStr">
        <is>
          <t>Relé Shelly 1PM Mini Gen4 (iluminación, ~2/u)</t>
        </is>
      </c>
      <c r="B26" s="56" t="n">
        <v>2</v>
      </c>
      <c r="C26" s="75">
        <f>Dispositivos!D7</f>
        <v/>
      </c>
      <c r="D26" s="76">
        <f>Dispositivos!E7</f>
        <v/>
      </c>
      <c r="E26" s="77">
        <f>C26*(1+D26)</f>
        <v/>
      </c>
      <c r="F26" s="78">
        <f>Parametros!$B$18</f>
        <v/>
      </c>
      <c r="G26" s="77">
        <f>E26*(1+F26)</f>
        <v/>
      </c>
      <c r="H26" s="77">
        <f>G26*B26</f>
        <v/>
      </c>
      <c r="I26" s="75">
        <f>Dispositivos!F7*(1+Parametros!$B$19)</f>
        <v/>
      </c>
      <c r="J26" s="77">
        <f>I26*B26</f>
        <v/>
      </c>
      <c r="K26" s="77">
        <f>H26+J26</f>
        <v/>
      </c>
    </row>
    <row r="27" ht="15" customHeight="1" s="51">
      <c r="A27" s="56" t="inlineStr">
        <is>
          <t>Dimmer Shelly Gen4</t>
        </is>
      </c>
      <c r="B27" s="56" t="n">
        <v>1</v>
      </c>
      <c r="C27" s="75">
        <f>Dispositivos!D8</f>
        <v/>
      </c>
      <c r="D27" s="76">
        <f>Dispositivos!E8</f>
        <v/>
      </c>
      <c r="E27" s="77">
        <f>C27*(1+D27)</f>
        <v/>
      </c>
      <c r="F27" s="78">
        <f>Parametros!$B$18</f>
        <v/>
      </c>
      <c r="G27" s="77">
        <f>E27*(1+F27)</f>
        <v/>
      </c>
      <c r="H27" s="77">
        <f>G27*B27</f>
        <v/>
      </c>
      <c r="I27" s="75">
        <f>Dispositivos!F8*(1+Parametros!$B$19)</f>
        <v/>
      </c>
      <c r="J27" s="77">
        <f>I27*B27</f>
        <v/>
      </c>
      <c r="K27" s="77">
        <f>H27+J27</f>
        <v/>
      </c>
    </row>
    <row r="28" ht="15" customHeight="1" s="51">
      <c r="A28" s="56" t="inlineStr">
        <is>
          <t>Sensor apertura BLU Door/Window ZB</t>
        </is>
      </c>
      <c r="B28" s="56" t="n">
        <v>1</v>
      </c>
      <c r="C28" s="75">
        <f>Dispositivos!D9</f>
        <v/>
      </c>
      <c r="D28" s="76">
        <f>Dispositivos!E9</f>
        <v/>
      </c>
      <c r="E28" s="77">
        <f>C28*(1+D28)</f>
        <v/>
      </c>
      <c r="F28" s="78">
        <f>Parametros!$B$18</f>
        <v/>
      </c>
      <c r="G28" s="77">
        <f>E28*(1+F28)</f>
        <v/>
      </c>
      <c r="H28" s="77">
        <f>G28*B28</f>
        <v/>
      </c>
      <c r="I28" s="75">
        <f>Dispositivos!F9*(1+Parametros!$B$19)</f>
        <v/>
      </c>
      <c r="J28" s="77">
        <f>I28*B28</f>
        <v/>
      </c>
      <c r="K28" s="77">
        <f>H28+J28</f>
        <v/>
      </c>
    </row>
    <row r="29" ht="15" customHeight="1" s="51">
      <c r="A29" s="56" t="inlineStr">
        <is>
          <t>Sensibo Air B2B (control AC x3)</t>
        </is>
      </c>
      <c r="B29" s="56" t="n">
        <v>3</v>
      </c>
      <c r="C29" s="75">
        <f>Dispositivos!D10</f>
        <v/>
      </c>
      <c r="D29" s="76">
        <f>Dispositivos!E10</f>
        <v/>
      </c>
      <c r="E29" s="77">
        <f>C29*(1+D29)</f>
        <v/>
      </c>
      <c r="F29" s="78">
        <f>Parametros!$B$18</f>
        <v/>
      </c>
      <c r="G29" s="77">
        <f>E29*(1+F29)</f>
        <v/>
      </c>
      <c r="H29" s="77">
        <f>G29*B29</f>
        <v/>
      </c>
      <c r="I29" s="75">
        <f>Dispositivos!F10*(1+Parametros!$B$19)</f>
        <v/>
      </c>
      <c r="J29" s="77">
        <f>I29*B29</f>
        <v/>
      </c>
      <c r="K29" s="77">
        <f>H29+J29</f>
        <v/>
      </c>
    </row>
    <row r="30" ht="15" customHeight="1" s="51">
      <c r="A30" s="56" t="inlineStr">
        <is>
          <t>Shelly Plus 2PM Gen4 (cortinas x3)</t>
        </is>
      </c>
      <c r="B30" s="56" t="n">
        <v>3</v>
      </c>
      <c r="C30" s="75">
        <f>Dispositivos!D11</f>
        <v/>
      </c>
      <c r="D30" s="76">
        <f>Dispositivos!E11</f>
        <v/>
      </c>
      <c r="E30" s="77">
        <f>C30*(1+D30)</f>
        <v/>
      </c>
      <c r="F30" s="78">
        <f>Parametros!$B$18</f>
        <v/>
      </c>
      <c r="G30" s="77">
        <f>E30*(1+F30)</f>
        <v/>
      </c>
      <c r="H30" s="77">
        <f>G30*B30</f>
        <v/>
      </c>
      <c r="I30" s="75">
        <f>Dispositivos!F11*(1+Parametros!$B$19)</f>
        <v/>
      </c>
      <c r="J30" s="77">
        <f>I30*B30</f>
        <v/>
      </c>
      <c r="K30" s="77">
        <f>H30+J30</f>
        <v/>
      </c>
    </row>
    <row r="31" ht="15" customHeight="1" s="51">
      <c r="A31" s="56" t="inlineStr">
        <is>
          <t>Visita técnica inicial (fee fijo, no existe en instalación en bloque)</t>
        </is>
      </c>
      <c r="B31" s="56" t="n">
        <v>1</v>
      </c>
      <c r="C31" s="56" t="n"/>
      <c r="D31" s="56" t="n"/>
      <c r="E31" s="56" t="n"/>
      <c r="F31" s="56" t="n"/>
      <c r="G31" s="56" t="n"/>
      <c r="H31" s="77" t="n">
        <v>0</v>
      </c>
      <c r="I31" s="56" t="n"/>
      <c r="J31" s="75">
        <f>Parametros!$B$20</f>
        <v/>
      </c>
      <c r="K31" s="77">
        <f>H31+J31</f>
        <v/>
      </c>
    </row>
    <row r="32" ht="15" customHeight="1" s="51">
      <c r="A32" s="79" t="inlineStr">
        <is>
          <t>TOTAL 2 Dormitorios</t>
        </is>
      </c>
      <c r="B32" s="80" t="n"/>
      <c r="C32" s="80" t="n"/>
      <c r="D32" s="80" t="n"/>
      <c r="E32" s="80" t="n"/>
      <c r="F32" s="80" t="n"/>
      <c r="G32" s="80" t="n"/>
      <c r="H32" s="81">
        <f>SUM(H22:H31)</f>
        <v/>
      </c>
      <c r="I32" s="80" t="n"/>
      <c r="J32" s="81">
        <f>SUM(J22:J31)</f>
        <v/>
      </c>
      <c r="K32" s="81">
        <f>H32+J32</f>
        <v/>
      </c>
    </row>
    <row r="34" ht="15" customHeight="1" s="51">
      <c r="A34" s="50" t="inlineStr">
        <is>
          <t>Incidencia por unidad:</t>
        </is>
      </c>
      <c r="K34" s="83">
        <f>K32/Parametros!$B$10</f>
        <v/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2026-07-30T14:38:44Z</dcterms:created>
  <dcterms:modified xmlns:dcterms="http://purl.org/dc/terms/" xmlns:xsi="http://www.w3.org/2001/XMLSchema-instance" xsi:type="dcterms:W3CDTF">2026-07-30T16:43:36Z</dcterms:modified>
  <cp:lastModifiedBy>Agustín - Nova Domus</cp:lastModifiedBy>
  <cp:revision>0</cp:revision>
</cp:coreProperties>
</file>